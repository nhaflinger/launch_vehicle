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esign" sheetId="1" state="visible" r:id="rId1"/>
    <sheet name="README" sheetId="2" state="visible" r:id="rId2"/>
    <sheet name="Engine DB" sheetId="3" state="visible" r:id="rId3"/>
    <sheet name="Vehicle DB" sheetId="4" state="visible" r:id="rId4"/>
    <sheet name="Propellants" sheetId="5" state="visible" r:id="rId5"/>
    <sheet name="Comparison" sheetId="6" state="visible" r:id="rId6"/>
  </sheets>
  <definedNames>
    <definedName name="_xlnm._FilterDatabase" localSheetId="2" hidden="1">'Engine DB'!$A$2:$K$2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color rgb="001F1F1F"/>
      <sz val="10"/>
    </font>
    <font>
      <i val="1"/>
      <sz val="9"/>
    </font>
    <font>
      <b val="1"/>
      <sz val="10"/>
    </font>
    <font>
      <b val="1"/>
      <sz val="11"/>
    </font>
    <font>
      <b val="1"/>
      <color rgb="001F1F1F"/>
      <sz val="10"/>
    </font>
    <font>
      <sz val="10"/>
    </font>
    <font>
      <i val="1"/>
      <color rgb="00777777"/>
      <sz val="8"/>
    </font>
    <font>
      <color rgb="00777777"/>
      <sz val="9"/>
    </font>
    <font>
      <i val="1"/>
      <sz val="10"/>
    </font>
    <font>
      <b val="1"/>
      <i val="1"/>
      <sz val="10"/>
    </font>
    <font>
      <b val="1"/>
      <sz val="12"/>
    </font>
    <font>
      <b val="1"/>
      <i val="1"/>
      <sz val="12"/>
    </font>
    <font>
      <i val="1"/>
      <color rgb="00444444"/>
      <sz val="8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C6EFCE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indent="1"/>
    </xf>
    <xf numFmtId="49" fontId="8" fillId="8" borderId="0" applyAlignment="1" pivotButton="0" quotePrefix="0" xfId="0">
      <alignment horizontal="center" vertical="center"/>
    </xf>
    <xf numFmtId="3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0" applyAlignment="1" pivotButton="0" quotePrefix="0" xfId="0">
      <alignment horizontal="center"/>
    </xf>
    <xf numFmtId="3" fontId="12" fillId="9" borderId="0" applyAlignment="1" pivotButton="0" quotePrefix="0" xfId="0">
      <alignment horizontal="center" vertical="center"/>
    </xf>
    <xf numFmtId="3" fontId="11" fillId="9" borderId="0" applyAlignment="1" pivotButton="0" quotePrefix="0" xfId="0">
      <alignment horizontal="center"/>
    </xf>
    <xf numFmtId="164" fontId="11" fillId="9" borderId="0" applyAlignment="1" pivotButton="0" quotePrefix="0" xfId="0">
      <alignment horizontal="center" vertical="center"/>
    </xf>
    <xf numFmtId="164" fontId="12" fillId="9" borderId="0" applyAlignment="1" pivotButton="0" quotePrefix="0" xfId="0">
      <alignment horizontal="center" vertical="center"/>
    </xf>
    <xf numFmtId="2" fontId="12" fillId="9" borderId="0" applyAlignment="1" pivotButton="0" quotePrefix="0" xfId="0">
      <alignment horizontal="center"/>
    </xf>
    <xf numFmtId="3" fontId="12" fillId="9" borderId="0" applyAlignment="1" pivotButton="0" quotePrefix="0" xfId="0">
      <alignment horizontal="center"/>
    </xf>
    <xf numFmtId="0" fontId="11" fillId="7" borderId="0" applyAlignment="1" pivotButton="0" quotePrefix="0" xfId="0">
      <alignment horizontal="left" indent="1"/>
    </xf>
    <xf numFmtId="3" fontId="5" fillId="9" borderId="0" applyAlignment="1" pivotButton="0" quotePrefix="0" xfId="0">
      <alignment horizontal="center"/>
    </xf>
    <xf numFmtId="3" fontId="11" fillId="9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indent="2"/>
    </xf>
    <xf numFmtId="0" fontId="5" fillId="3" borderId="0" applyAlignment="1" pivotButton="0" quotePrefix="0" xfId="0">
      <alignment horizontal="left" indent="1"/>
    </xf>
    <xf numFmtId="0" fontId="10" fillId="3" borderId="0" applyAlignment="1" pivotButton="0" quotePrefix="0" xfId="0">
      <alignment horizontal="center"/>
    </xf>
    <xf numFmtId="0" fontId="13" fillId="10" borderId="0" applyAlignment="1" pivotButton="0" quotePrefix="0" xfId="0">
      <alignment horizontal="left" indent="1"/>
    </xf>
    <xf numFmtId="3" fontId="14" fillId="10" borderId="0" applyAlignment="1" pivotButton="0" quotePrefix="0" xfId="0">
      <alignment horizontal="center" vertical="center"/>
    </xf>
    <xf numFmtId="0" fontId="15" fillId="0" borderId="0" pivotButton="0" quotePrefix="0" xfId="0"/>
    <xf numFmtId="165" fontId="11" fillId="9" borderId="0" applyAlignment="1" pivotButton="0" quotePrefix="0" xfId="0">
      <alignment horizontal="center" vertical="center"/>
    </xf>
    <xf numFmtId="2" fontId="11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indent="1"/>
    </xf>
    <xf numFmtId="3" fontId="6" fillId="1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 indent="1"/>
    </xf>
    <xf numFmtId="2" fontId="5" fillId="9" borderId="1" applyAlignment="1" pivotButton="0" quotePrefix="0" xfId="0">
      <alignment horizontal="center"/>
    </xf>
    <xf numFmtId="3" fontId="5" fillId="9" borderId="1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1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 indent="1"/>
    </xf>
    <xf numFmtId="0" fontId="8" fillId="1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 indent="1"/>
    </xf>
    <xf numFmtId="3" fontId="8" fillId="12" borderId="1" applyAlignment="1" pivotButton="0" quotePrefix="0" xfId="0">
      <alignment horizontal="center" vertical="center" indent="1"/>
    </xf>
    <xf numFmtId="2" fontId="8" fillId="12" borderId="1" applyAlignment="1" pivotButton="0" quotePrefix="0" xfId="0">
      <alignment horizontal="center" vertical="center" indent="1"/>
    </xf>
    <xf numFmtId="0" fontId="8" fillId="12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3" fontId="8" fillId="7" borderId="1" applyAlignment="1" pivotButton="0" quotePrefix="0" xfId="0">
      <alignment horizontal="center" vertical="center" indent="1"/>
    </xf>
    <xf numFmtId="2" fontId="8" fillId="7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M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18" customWidth="1" min="4" max="4"/>
    <col width="16" customWidth="1" min="5" max="5"/>
    <col width="3" customWidth="1" min="6" max="6"/>
    <col width="18" customWidth="1" min="7" max="7"/>
    <col width="16" customWidth="1" min="8" max="8"/>
    <col width="3" customWidth="1" min="9" max="9"/>
    <col width="18" customWidth="1" min="10" max="10"/>
    <col width="16" customWidth="1" min="11" max="11"/>
    <col width="3" customWidth="1" min="12" max="12"/>
  </cols>
  <sheetData>
    <row r="1" ht="28" customHeight="1">
      <c r="A1" s="1" t="inlineStr">
        <is>
          <t>LAUNCH VEHICLE DESIGN TOOL</t>
        </is>
      </c>
    </row>
    <row r="2">
      <c r="A2" s="2" t="inlineStr">
        <is>
          <t>Yellow = Input   |   Blue = Calculated   |   Engine name must match Engine DB exactly   |   ΔV Allocation per stage must sum to Mission ΔV</t>
        </is>
      </c>
    </row>
    <row r="3" ht="20" customHeight="1">
      <c r="A3" s="3" t="inlineStr">
        <is>
          <t>PARAMETER</t>
        </is>
      </c>
      <c r="B3" s="3" t="inlineStr">
        <is>
          <t>UNITS</t>
        </is>
      </c>
      <c r="D3" s="4" t="inlineStr">
        <is>
          <t>Stage 1</t>
        </is>
      </c>
      <c r="G3" s="5" t="inlineStr">
        <is>
          <t>Stage 2</t>
        </is>
      </c>
      <c r="J3" s="6" t="inlineStr">
        <is>
          <t>Stage 3</t>
        </is>
      </c>
    </row>
    <row r="5">
      <c r="A5" s="7" t="inlineStr">
        <is>
          <t>MISSION REQUIREMENTS</t>
        </is>
      </c>
    </row>
    <row r="6">
      <c r="A6" s="8" t="inlineStr">
        <is>
          <t>Vehicle Name</t>
        </is>
      </c>
      <c r="B6" s="9" t="inlineStr">
        <is>
          <t>New Glenn Block 2 (7x2)</t>
        </is>
      </c>
    </row>
    <row r="7">
      <c r="A7" s="8" t="inlineStr">
        <is>
          <t>Target Orbit</t>
        </is>
      </c>
      <c r="B7" s="9" t="inlineStr">
        <is>
          <t>LEO 400km</t>
        </is>
      </c>
    </row>
    <row r="8">
      <c r="A8" s="8" t="inlineStr">
        <is>
          <t>Payload Adapter Mass</t>
        </is>
      </c>
      <c r="B8" s="10" t="n">
        <v>200</v>
      </c>
      <c r="C8" s="11" t="inlineStr">
        <is>
          <t>← Separation hardware mass between payload and vehicle</t>
        </is>
      </c>
    </row>
    <row r="9">
      <c r="A9" s="8" t="inlineStr">
        <is>
          <t>Orbital Velocity (LEO)</t>
        </is>
      </c>
      <c r="B9" s="10" t="n">
        <v>7784</v>
      </c>
      <c r="C9" s="11" t="inlineStr">
        <is>
          <t>← Target orbital velocity — 7784 m/s for 400km LEO; 7726 m/s for 200km</t>
        </is>
      </c>
    </row>
    <row r="10">
      <c r="A10" s="8" t="inlineStr">
        <is>
          <t>Drag Loss</t>
        </is>
      </c>
      <c r="B10" s="10" t="n">
        <v>120</v>
      </c>
      <c r="C10" s="11" t="inlineStr">
        <is>
          <t>← Aerodynamic drag loss — typically 100-150 m/s; relatively insensitive to thrust</t>
        </is>
      </c>
    </row>
    <row r="11">
      <c r="A11" s="8" t="inlineStr">
        <is>
          <t>Gravity Loss Coefficient</t>
        </is>
      </c>
      <c r="B11" s="9" t="n">
        <v>1750</v>
      </c>
      <c r="C11" s="11" t="inlineStr">
        <is>
          <t>← Gravity loss = coeff / TWR_liftoff; calibrated to ~1450 m/s at TWR=1.2; adjust to match known vehicles</t>
        </is>
      </c>
    </row>
    <row r="12">
      <c r="A12" s="8" t="inlineStr">
        <is>
          <t>GTO Orbital ΔV</t>
        </is>
      </c>
      <c r="B12" s="10" t="n">
        <v>10400</v>
      </c>
      <c r="C12" s="11" t="inlineStr">
        <is>
          <t>← Velocity needed at GTO perigee — ~10,200-10,500 m/s depending on inclination and target apogee</t>
        </is>
      </c>
    </row>
    <row r="13">
      <c r="A13" s="8" t="inlineStr">
        <is>
          <t>Number of Stages</t>
        </is>
      </c>
      <c r="B13" s="9" t="n">
        <v>2</v>
      </c>
      <c r="C13" s="11" t="inlineStr">
        <is>
          <t>← Active stages (enter 1-3)</t>
        </is>
      </c>
    </row>
    <row r="15" ht="18" customHeight="1">
      <c r="A15" s="7" t="inlineStr">
        <is>
          <t>STAGE CONFIGURATION</t>
        </is>
      </c>
    </row>
    <row r="16">
      <c r="A16" s="8" t="inlineStr">
        <is>
          <t>Stage Name</t>
        </is>
      </c>
      <c r="B16" s="12" t="inlineStr">
        <is>
          <t>text</t>
        </is>
      </c>
      <c r="E16" s="9" t="inlineStr">
        <is>
          <t>S1 First</t>
        </is>
      </c>
      <c r="H16" s="9" t="inlineStr">
        <is>
          <t>S2 Upper</t>
        </is>
      </c>
      <c r="K16" s="9" t="inlineStr"/>
    </row>
    <row r="17">
      <c r="A17" s="8" t="inlineStr">
        <is>
          <t>Engine (from Engine DB)</t>
        </is>
      </c>
      <c r="B17" s="12" t="inlineStr">
        <is>
          <t>name</t>
        </is>
      </c>
      <c r="E17" s="9" t="inlineStr">
        <is>
          <t>BE-4 Block 2</t>
        </is>
      </c>
      <c r="H17" s="9" t="inlineStr">
        <is>
          <t>BE-3U Block 2</t>
        </is>
      </c>
      <c r="K17" s="9" t="inlineStr"/>
    </row>
    <row r="18">
      <c r="A18" s="8" t="inlineStr">
        <is>
          <t>Number of Engines</t>
        </is>
      </c>
      <c r="B18" s="12" t="inlineStr">
        <is>
          <t>count</t>
        </is>
      </c>
      <c r="E18" s="9" t="n">
        <v>7</v>
      </c>
      <c r="H18" s="9" t="n">
        <v>2</v>
      </c>
      <c r="K18" s="9" t="inlineStr"/>
    </row>
    <row r="19">
      <c r="A19" s="8" t="inlineStr">
        <is>
          <t>Propellant Combination</t>
        </is>
      </c>
      <c r="B19" s="12" t="inlineStr">
        <is>
          <t>type</t>
        </is>
      </c>
      <c r="E19" s="9" t="inlineStr">
        <is>
          <t>LOX/CH4</t>
        </is>
      </c>
      <c r="H19" s="9" t="inlineStr">
        <is>
          <t>LOX/LH2</t>
        </is>
      </c>
      <c r="K19" s="9" t="inlineStr"/>
    </row>
    <row r="20">
      <c r="A20" s="8" t="inlineStr">
        <is>
          <t>Propellant Mass (nominal)</t>
        </is>
      </c>
      <c r="B20" s="12" t="inlineStr">
        <is>
          <t>kg</t>
        </is>
      </c>
      <c r="E20" s="10" t="n">
        <v>770000</v>
      </c>
      <c r="H20" s="10" t="n">
        <v>75000</v>
      </c>
      <c r="K20" s="10" t="inlineStr"/>
    </row>
    <row r="21">
      <c r="A21" s="8" t="inlineStr">
        <is>
          <t>Subcooling Gain (%)</t>
        </is>
      </c>
      <c r="B21" s="12" t="inlineStr">
        <is>
          <t>%</t>
        </is>
      </c>
      <c r="E21" s="9" t="n">
        <v>3.5</v>
      </c>
      <c r="H21" s="9" t="n">
        <v>0</v>
      </c>
      <c r="K21" s="9" t="n">
        <v>0</v>
      </c>
    </row>
    <row r="22">
      <c r="A22" s="8" t="inlineStr">
        <is>
          <t>Effective Propellant Mass</t>
        </is>
      </c>
      <c r="B22" s="12" t="inlineStr">
        <is>
          <t>kg</t>
        </is>
      </c>
      <c r="E22" s="13">
        <f>IFERROR(E20*(1+E21/100),"")</f>
        <v/>
      </c>
      <c r="H22" s="13">
        <f>IFERROR(H20*(1+H21/100),"")</f>
        <v/>
      </c>
      <c r="K22" s="13">
        <f>IFERROR(K20*(1+K21/100),"")</f>
        <v/>
      </c>
    </row>
    <row r="23">
      <c r="A23" s="8" t="inlineStr">
        <is>
          <t>LEO ΔV Fraction</t>
        </is>
      </c>
      <c r="B23" s="12" t="inlineStr">
        <is>
          <t>0-1</t>
        </is>
      </c>
      <c r="E23" s="9" t="n">
        <v>0.597</v>
      </c>
      <c r="H23" s="9" t="n">
        <v>0.403</v>
      </c>
      <c r="K23" s="9" t="inlineStr"/>
    </row>
    <row r="24">
      <c r="A24" s="8" t="inlineStr">
        <is>
          <t>LEO ΔV Allocation</t>
        </is>
      </c>
      <c r="B24" s="12" t="inlineStr">
        <is>
          <t>m/s</t>
        </is>
      </c>
      <c r="E24" s="14">
        <f>IFERROR(E23*B37,"")</f>
        <v/>
      </c>
      <c r="H24" s="14">
        <f>IFERROR(H23*B37,"")</f>
        <v/>
      </c>
      <c r="K24" s="14">
        <f>IFERROR(K23*B37,"")</f>
        <v/>
      </c>
    </row>
    <row r="25">
      <c r="A25" s="8" t="inlineStr">
        <is>
          <t>Vac Isp Override</t>
        </is>
      </c>
      <c r="B25" s="12" t="inlineStr">
        <is>
          <t>s</t>
        </is>
      </c>
      <c r="E25" s="9" t="inlineStr"/>
      <c r="H25" s="9" t="inlineStr"/>
      <c r="K25" s="9" t="inlineStr"/>
    </row>
    <row r="26">
      <c r="A26" s="8" t="inlineStr">
        <is>
          <t>Vac Isp (from DB)</t>
        </is>
      </c>
      <c r="B26" s="12" t="inlineStr">
        <is>
          <t>s</t>
        </is>
      </c>
      <c r="E26" s="15">
        <f>IF(E25&lt;&gt;"",E25,IFERROR(VLOOKUP(E17,'Engine DB'!$A:$K,4,0),"Enter engine"))</f>
        <v/>
      </c>
      <c r="H26" s="15">
        <f>IF(H25&lt;&gt;"",H25,IFERROR(VLOOKUP(H17,'Engine DB'!$A:$K,4,0),"Enter engine"))</f>
        <v/>
      </c>
      <c r="K26" s="15">
        <f>IF(K25&lt;&gt;"",K25,IFERROR(VLOOKUP(K17,'Engine DB'!$A:$K,4,0),"Enter engine"))</f>
        <v/>
      </c>
    </row>
    <row r="27">
      <c r="A27" s="8" t="inlineStr">
        <is>
          <t>SL Isp (from DB)</t>
        </is>
      </c>
      <c r="B27" s="12" t="inlineStr">
        <is>
          <t>s</t>
        </is>
      </c>
      <c r="E27" s="15">
        <f>IFERROR(VLOOKUP(E17,'Engine DB'!$A:$K,5,0),"—")</f>
        <v/>
      </c>
      <c r="H27" s="15">
        <f>IFERROR(VLOOKUP(H17,'Engine DB'!$A:$K,5,0),"—")</f>
        <v/>
      </c>
      <c r="K27" s="15">
        <f>IFERROR(VLOOKUP(K17,'Engine DB'!$A:$K,5,0),"—")</f>
        <v/>
      </c>
    </row>
    <row r="28">
      <c r="A28" s="8" t="inlineStr">
        <is>
          <t>Atm Fraction (0-1)</t>
        </is>
      </c>
      <c r="B28" s="12" t="inlineStr">
        <is>
          <t>—</t>
        </is>
      </c>
      <c r="E28" s="9" t="n">
        <v>0.6</v>
      </c>
      <c r="H28" s="9" t="n">
        <v>1</v>
      </c>
      <c r="K28" s="9" t="n">
        <v>1</v>
      </c>
    </row>
    <row r="29">
      <c r="A29" s="8" t="inlineStr">
        <is>
          <t>Effective Isp (used)</t>
        </is>
      </c>
      <c r="B29" s="12" t="inlineStr">
        <is>
          <t>s</t>
        </is>
      </c>
      <c r="E29" s="16">
        <f>IFERROR(IF(ISNUMBER(E27),E27+E28*(E26-E27),E26),E26)</f>
        <v/>
      </c>
      <c r="H29" s="16">
        <f>IFERROR(IF(ISNUMBER(H27),H27+H28*(H26-H27),H26),H26)</f>
        <v/>
      </c>
      <c r="K29" s="16">
        <f>IFERROR(IF(ISNUMBER(K27),K27+K28*(K26-K27),K26),K26)</f>
        <v/>
      </c>
    </row>
    <row r="30">
      <c r="A30" s="8" t="inlineStr">
        <is>
          <t>GTO ΔV Fraction</t>
        </is>
      </c>
      <c r="B30" s="12" t="inlineStr">
        <is>
          <t>0-1</t>
        </is>
      </c>
      <c r="E30" s="9" t="n">
        <v>0.555</v>
      </c>
      <c r="H30" s="9" t="n">
        <v>0.445</v>
      </c>
      <c r="K30" s="9" t="inlineStr"/>
    </row>
    <row r="31">
      <c r="A31" s="8" t="inlineStr">
        <is>
          <t>GTO ΔV Allocation</t>
        </is>
      </c>
      <c r="B31" s="12" t="inlineStr">
        <is>
          <t>m/s</t>
        </is>
      </c>
      <c r="E31" s="14">
        <f>IFERROR(E30*B38,"")</f>
        <v/>
      </c>
      <c r="H31" s="14">
        <f>IFERROR(H30*B38,"")</f>
        <v/>
      </c>
      <c r="K31" s="14">
        <f>IFERROR(K30*B38,"")</f>
        <v/>
      </c>
    </row>
    <row r="33" ht="18" customHeight="1">
      <c r="A33" s="7" t="inlineStr">
        <is>
          <t>MISSION ΔV ANALYSIS  —  Gravity loss computed from liftoff TWR</t>
        </is>
      </c>
    </row>
    <row r="34">
      <c r="A34" s="8" t="inlineStr">
        <is>
          <t>Est. GLOW (stage masses only, no payload)</t>
        </is>
      </c>
      <c r="B34" s="14">
        <f>IFERROR(E20+E56,0)+IFERROR(H20+H56,0)+IFERROR(K20+K56,0)</f>
        <v/>
      </c>
    </row>
    <row r="35">
      <c r="A35" s="8" t="inlineStr">
        <is>
          <t>Stage 1 Liftoff TWR (est., no payload)</t>
        </is>
      </c>
      <c r="B35" s="17">
        <f>IFERROR(E18*IFERROR(VLOOKUP(E17,'Engine DB'!$A:$K,7,0),0)*1000/(B34*9.80665),"")</f>
        <v/>
      </c>
    </row>
    <row r="36">
      <c r="A36" s="8" t="inlineStr">
        <is>
          <t>Gravity Loss (= coeff / TWR)</t>
        </is>
      </c>
      <c r="B36" s="14">
        <f>IFERROR(B11/B35,"")</f>
        <v/>
      </c>
    </row>
    <row r="37">
      <c r="A37" s="8" t="inlineStr">
        <is>
          <t>LEO Mission ΔV (calculated)</t>
        </is>
      </c>
      <c r="B37" s="18">
        <f>IFERROR(B9+B10+B36,"")</f>
        <v/>
      </c>
    </row>
    <row r="38">
      <c r="A38" s="8" t="inlineStr">
        <is>
          <t>GTO Mission ΔV (calculated)</t>
        </is>
      </c>
      <c r="B38" s="18">
        <f>IFERROR(B12+B10+B36,"")</f>
        <v/>
      </c>
    </row>
    <row r="39">
      <c r="A39" s="19" t="inlineStr">
        <is>
          <t>LEO ΔV Allocation Check (should = LEO Mission ΔV above)</t>
        </is>
      </c>
      <c r="B39" s="20">
        <f>IFERROR(E24*1,0)+IFERROR(H24*1,0)+IFERROR(K24*1,0)</f>
        <v/>
      </c>
      <c r="C39" s="2">
        <f>IF(ABS(B39-B37)&lt;1,"✓ OK","⚠ Adjust stage allocations to sum to LEO Mission ΔV")</f>
        <v/>
      </c>
    </row>
    <row r="40">
      <c r="A40" s="8" t="inlineStr">
        <is>
          <t>Engine Mass per Engine</t>
        </is>
      </c>
      <c r="B40" s="12" t="inlineStr">
        <is>
          <t>kg</t>
        </is>
      </c>
      <c r="E40" s="21">
        <f>IFERROR(VLOOKUP(E17,'Engine DB'!$A:$K,8,0),"—")</f>
        <v/>
      </c>
      <c r="H40" s="21">
        <f>IFERROR(VLOOKUP(H17,'Engine DB'!$A:$K,8,0),"—")</f>
        <v/>
      </c>
      <c r="K40" s="21">
        <f>IFERROR(VLOOKUP(K17,'Engine DB'!$A:$K,8,0),"—")</f>
        <v/>
      </c>
    </row>
    <row r="42" ht="18" customHeight="1">
      <c r="A42" s="7" t="inlineStr">
        <is>
          <t>SUBSYSTEM MASS BREAKDOWN (auto-estimated; override any yellow cell)</t>
        </is>
      </c>
    </row>
    <row r="43">
      <c r="A43" s="22" t="inlineStr">
        <is>
          <t>Tank Structure</t>
        </is>
      </c>
      <c r="B43" s="12" t="inlineStr">
        <is>
          <t>kg</t>
        </is>
      </c>
      <c r="E43" s="10">
        <f>IF(E20="","",E20/100*IF(E19="LOX/RP-1",3.5,IF(E19="LOX/LH2",6.5,IF(E19="LOX/CH4",3.8,IF(OR(E19="Solid HTPB",E19="Solid PBAN"),1.8,2.5)))))</f>
        <v/>
      </c>
      <c r="H43" s="10">
        <f>IF(H20="","",H20/100*IF(H19="LOX/RP-1",3.5,IF(H19="LOX/LH2",6.5,IF(H19="LOX/CH4",3.8,IF(OR(H19="Solid HTPB",H19="Solid PBAN"),1.8,2.5)))))</f>
        <v/>
      </c>
      <c r="K43" s="10">
        <f>IF(K20="","",K20/100*IF(K19="LOX/RP-1",3.5,IF(K19="LOX/LH2",6.5,IF(K19="LOX/CH4",3.8,IF(OR(K19="Solid HTPB",K19="Solid PBAN"),1.8,2.5)))))</f>
        <v/>
      </c>
    </row>
    <row r="44">
      <c r="A44" s="22" t="inlineStr">
        <is>
          <t>Pressurization System</t>
        </is>
      </c>
      <c r="B44" s="12" t="inlineStr">
        <is>
          <t>kg</t>
        </is>
      </c>
      <c r="E44" s="10">
        <f>IF(E20="","",E20/100*IF(E19="LOX/RP-1",0.4,IF(E19="LOX/LH2",0.6,IF(E19="LOX/CH4",0.4,IF(OR(E19="Solid HTPB",E19="Solid PBAN"),0.0,0.5)))))</f>
        <v/>
      </c>
      <c r="H44" s="10">
        <f>IF(H20="","",H20/100*IF(H19="LOX/RP-1",0.4,IF(H19="LOX/LH2",0.6,IF(H19="LOX/CH4",0.4,IF(OR(H19="Solid HTPB",H19="Solid PBAN"),0.0,0.5)))))</f>
        <v/>
      </c>
      <c r="K44" s="10">
        <f>IF(K20="","",K20/100*IF(K19="LOX/RP-1",0.4,IF(K19="LOX/LH2",0.6,IF(K19="LOX/CH4",0.4,IF(OR(K19="Solid HTPB",K19="Solid PBAN"),0.0,0.5)))))</f>
        <v/>
      </c>
    </row>
    <row r="45">
      <c r="A45" s="22" t="inlineStr">
        <is>
          <t>Feed System / Plumbing</t>
        </is>
      </c>
      <c r="B45" s="12" t="inlineStr">
        <is>
          <t>kg</t>
        </is>
      </c>
      <c r="E45" s="10">
        <f>IF(E20="","",E20/100*IF(E19="LOX/RP-1",0.8,IF(E19="LOX/LH2",1.0,IF(E19="LOX/CH4",0.8,IF(OR(E19="Solid HTPB",E19="Solid PBAN"),0.2,0.6)))))</f>
        <v/>
      </c>
      <c r="H45" s="10">
        <f>IF(H20="","",H20/100*IF(H19="LOX/RP-1",0.8,IF(H19="LOX/LH2",1.0,IF(H19="LOX/CH4",0.8,IF(OR(H19="Solid HTPB",H19="Solid PBAN"),0.2,0.6)))))</f>
        <v/>
      </c>
      <c r="K45" s="10">
        <f>IF(K20="","",K20/100*IF(K19="LOX/RP-1",0.8,IF(K19="LOX/LH2",1.0,IF(K19="LOX/CH4",0.8,IF(OR(K19="Solid HTPB",K19="Solid PBAN"),0.2,0.6)))))</f>
        <v/>
      </c>
    </row>
    <row r="46">
      <c r="A46" s="22" t="inlineStr">
        <is>
          <t>Avionics / GNC</t>
        </is>
      </c>
      <c r="B46" s="12" t="inlineStr">
        <is>
          <t>kg</t>
        </is>
      </c>
      <c r="E46" s="10">
        <f>IF(E20="","",E20/100*IF(E19="LOX/RP-1",0.3,IF(E19="LOX/LH2",0.4,IF(E19="LOX/CH4",0.3,IF(OR(E19="Solid HTPB",E19="Solid PBAN"),0.2,0.4)))))</f>
        <v/>
      </c>
      <c r="H46" s="10">
        <f>IF(H20="","",H20/100*IF(H19="LOX/RP-1",0.3,IF(H19="LOX/LH2",0.4,IF(H19="LOX/CH4",0.3,IF(OR(H19="Solid HTPB",H19="Solid PBAN"),0.2,0.4)))))</f>
        <v/>
      </c>
      <c r="K46" s="10">
        <f>IF(K20="","",K20/100*IF(K19="LOX/RP-1",0.3,IF(K19="LOX/LH2",0.4,IF(K19="LOX/CH4",0.3,IF(OR(K19="Solid HTPB",K19="Solid PBAN"),0.2,0.4)))))</f>
        <v/>
      </c>
    </row>
    <row r="47">
      <c r="A47" s="22" t="inlineStr">
        <is>
          <t>Power System</t>
        </is>
      </c>
      <c r="B47" s="12" t="inlineStr">
        <is>
          <t>kg</t>
        </is>
      </c>
      <c r="E47" s="10">
        <f>IF(E20="","",E20/100*IF(E19="LOX/RP-1",0.2,IF(E19="LOX/LH2",0.3,IF(E19="LOX/CH4",0.2,IF(OR(E19="Solid HTPB",E19="Solid PBAN"),0.1,0.2)))))</f>
        <v/>
      </c>
      <c r="H47" s="10">
        <f>IF(H20="","",H20/100*IF(H19="LOX/RP-1",0.2,IF(H19="LOX/LH2",0.3,IF(H19="LOX/CH4",0.2,IF(OR(H19="Solid HTPB",H19="Solid PBAN"),0.1,0.2)))))</f>
        <v/>
      </c>
      <c r="K47" s="10">
        <f>IF(K20="","",K20/100*IF(K19="LOX/RP-1",0.2,IF(K19="LOX/LH2",0.3,IF(K19="LOX/CH4",0.2,IF(OR(K19="Solid HTPB",K19="Solid PBAN"),0.1,0.2)))))</f>
        <v/>
      </c>
    </row>
    <row r="48">
      <c r="A48" s="22" t="inlineStr">
        <is>
          <t>Thermal Control</t>
        </is>
      </c>
      <c r="B48" s="12" t="inlineStr">
        <is>
          <t>kg</t>
        </is>
      </c>
      <c r="E48" s="10">
        <f>IF(E20="","",E20/100*IF(E19="LOX/RP-1",0.2,IF(E19="LOX/LH2",1.0,IF(E19="LOX/CH4",0.3,IF(OR(E19="Solid HTPB",E19="Solid PBAN"),0.1,0.3)))))</f>
        <v/>
      </c>
      <c r="H48" s="10">
        <f>IF(H20="","",H20/100*IF(H19="LOX/RP-1",0.2,IF(H19="LOX/LH2",1.0,IF(H19="LOX/CH4",0.3,IF(OR(H19="Solid HTPB",H19="Solid PBAN"),0.1,0.3)))))</f>
        <v/>
      </c>
      <c r="K48" s="10">
        <f>IF(K20="","",K20/100*IF(K19="LOX/RP-1",0.2,IF(K19="LOX/LH2",1.0,IF(K19="LOX/CH4",0.3,IF(OR(K19="Solid HTPB",K19="Solid PBAN"),0.1,0.3)))))</f>
        <v/>
      </c>
    </row>
    <row r="49">
      <c r="A49" s="22" t="inlineStr">
        <is>
          <t>RCS / ACS</t>
        </is>
      </c>
      <c r="B49" s="12" t="inlineStr">
        <is>
          <t>kg</t>
        </is>
      </c>
      <c r="E49" s="10">
        <f>IF(E20="","",E20/100*IF(E19="LOX/RP-1",0.3,IF(E19="LOX/LH2",0.4,IF(E19="LOX/CH4",0.3,IF(OR(E19="Solid HTPB",E19="Solid PBAN"),0.1,0.2)))))</f>
        <v/>
      </c>
      <c r="H49" s="10">
        <f>IF(H20="","",H20/100*IF(H19="LOX/RP-1",0.3,IF(H19="LOX/LH2",0.4,IF(H19="LOX/CH4",0.3,IF(OR(H19="Solid HTPB",H19="Solid PBAN"),0.1,0.2)))))</f>
        <v/>
      </c>
      <c r="K49" s="10">
        <f>IF(K20="","",K20/100*IF(K19="LOX/RP-1",0.3,IF(K19="LOX/LH2",0.4,IF(K19="LOX/CH4",0.3,IF(OR(K19="Solid HTPB",K19="Solid PBAN"),0.1,0.2)))))</f>
        <v/>
      </c>
    </row>
    <row r="50">
      <c r="A50" s="22" t="inlineStr">
        <is>
          <t>Separation System</t>
        </is>
      </c>
      <c r="B50" s="12" t="inlineStr">
        <is>
          <t>kg</t>
        </is>
      </c>
      <c r="E50" s="10">
        <f>IF(E20="","",E20/100*IF(E19="LOX/RP-1",0.1,IF(E19="LOX/LH2",0.1,IF(E19="LOX/CH4",0.1,IF(OR(E19="Solid HTPB",E19="Solid PBAN"),0.1,0.1)))))</f>
        <v/>
      </c>
      <c r="H50" s="10">
        <f>IF(H20="","",H20/100*IF(H19="LOX/RP-1",0.1,IF(H19="LOX/LH2",0.1,IF(H19="LOX/CH4",0.1,IF(OR(H19="Solid HTPB",H19="Solid PBAN"),0.1,0.1)))))</f>
        <v/>
      </c>
      <c r="K50" s="10">
        <f>IF(K20="","",K20/100*IF(K19="LOX/RP-1",0.1,IF(K19="LOX/LH2",0.1,IF(K19="LOX/CH4",0.1,IF(OR(K19="Solid HTPB",K19="Solid PBAN"),0.1,0.1)))))</f>
        <v/>
      </c>
    </row>
    <row r="51">
      <c r="A51" s="22" t="inlineStr">
        <is>
          <t>Recovery Hardware</t>
        </is>
      </c>
      <c r="B51" s="12" t="inlineStr">
        <is>
          <t>kg</t>
        </is>
      </c>
      <c r="E51" s="10">
        <f>IF(E20="","",E20/100*IF(E19="LOX/RP-1",0.0,IF(E19="LOX/LH2",0.0,IF(E19="LOX/CH4",0.0,IF(OR(E19="Solid HTPB",E19="Solid PBAN"),0.0,0.0)))))</f>
        <v/>
      </c>
      <c r="H51" s="10">
        <f>IF(H20="","",H20/100*IF(H19="LOX/RP-1",0.0,IF(H19="LOX/LH2",0.0,IF(H19="LOX/CH4",0.0,IF(OR(H19="Solid HTPB",H19="Solid PBAN"),0.0,0.0)))))</f>
        <v/>
      </c>
      <c r="K51" s="10">
        <f>IF(K20="","",K20/100*IF(K19="LOX/RP-1",0.0,IF(K19="LOX/LH2",0.0,IF(K19="LOX/CH4",0.0,IF(OR(K19="Solid HTPB",K19="Solid PBAN"),0.0,0.0)))))</f>
        <v/>
      </c>
    </row>
    <row r="52">
      <c r="A52" s="22" t="inlineStr">
        <is>
          <t>Residuals / Margin</t>
        </is>
      </c>
      <c r="B52" s="12" t="inlineStr">
        <is>
          <t>kg</t>
        </is>
      </c>
      <c r="E52" s="10">
        <f>IF(E20="","",E20/100*IF(E19="LOX/RP-1",0.5,IF(E19="LOX/LH2",0.8,IF(E19="LOX/CH4",0.5,IF(OR(E19="Solid HTPB",E19="Solid PBAN"),0.3,0.5)))))</f>
        <v/>
      </c>
      <c r="H52" s="10">
        <f>IF(H20="","",H20/100*IF(H19="LOX/RP-1",0.5,IF(H19="LOX/LH2",0.8,IF(H19="LOX/CH4",0.5,IF(OR(H19="Solid HTPB",H19="Solid PBAN"),0.3,0.5)))))</f>
        <v/>
      </c>
      <c r="K52" s="10">
        <f>IF(K20="","",K20/100*IF(K19="LOX/RP-1",0.5,IF(K19="LOX/LH2",0.8,IF(K19="LOX/CH4",0.5,IF(OR(K19="Solid HTPB",K19="Solid PBAN"),0.3,0.5)))))</f>
        <v/>
      </c>
    </row>
    <row r="53">
      <c r="A53" s="22" t="inlineStr">
        <is>
          <t>Engine System Total</t>
        </is>
      </c>
      <c r="B53" s="12" t="inlineStr">
        <is>
          <t>kg</t>
        </is>
      </c>
      <c r="E53" s="21">
        <f>IFERROR(E18*E40*1.15, "")</f>
        <v/>
      </c>
      <c r="H53" s="21">
        <f>IFERROR(H18*H40*1.15, "")</f>
        <v/>
      </c>
      <c r="K53" s="21">
        <f>IFERROR(K18*K40*1.15, "")</f>
        <v/>
      </c>
    </row>
    <row r="54">
      <c r="A54" s="23" t="inlineStr">
        <is>
          <t>TOTAL DRY MASS (Estimated)</t>
        </is>
      </c>
      <c r="B54" s="24" t="inlineStr">
        <is>
          <t>kg</t>
        </is>
      </c>
      <c r="E54" s="13">
        <f>IFERROR(E43+E44+E45+E46+E47+E48+E49+E50+E51+E52+E53, "")</f>
        <v/>
      </c>
      <c r="H54" s="13">
        <f>IFERROR(H43+H44+H45+H46+H47+H48+H49+H50+H51+H52+H53, "")</f>
        <v/>
      </c>
      <c r="K54" s="13">
        <f>IFERROR(K43+K44+K45+K46+K47+K48+K49+K50+K51+K52+K53, "")</f>
        <v/>
      </c>
    </row>
    <row r="55">
      <c r="A55" s="8" t="inlineStr">
        <is>
          <t>Dry Mass Override (enter known value)</t>
        </is>
      </c>
      <c r="B55" s="12" t="inlineStr">
        <is>
          <t>kg</t>
        </is>
      </c>
      <c r="E55" s="10" t="inlineStr"/>
      <c r="H55" s="10" t="inlineStr"/>
      <c r="K55" s="10" t="inlineStr"/>
    </row>
    <row r="56">
      <c r="A56" s="8" t="inlineStr">
        <is>
          <t>Effective Dry Mass</t>
        </is>
      </c>
      <c r="B56" s="12" t="inlineStr">
        <is>
          <t>kg</t>
        </is>
      </c>
      <c r="E56" s="21">
        <f>IF(E55&lt;&gt;"",E55,E54)</f>
        <v/>
      </c>
      <c r="H56" s="21">
        <f>IF(H55&lt;&gt;"",H55,H54)</f>
        <v/>
      </c>
      <c r="K56" s="21">
        <f>IF(K55&lt;&gt;"",K55,K54)</f>
        <v/>
      </c>
    </row>
    <row r="58" ht="18" customHeight="1">
      <c r="A58" s="7" t="inlineStr">
        <is>
          <t>PERFORMANCE CALCULATIONS</t>
        </is>
      </c>
    </row>
    <row r="59">
      <c r="A59" s="25" t="inlineStr">
        <is>
          <t>MAX PAYLOAD TO ORBIT</t>
        </is>
      </c>
      <c r="B59" s="26">
        <f>IF(B13&gt;=3,IFERROR(K22/(EXP(K24/(K29*9.80665))-1)-K56-B8, ""),IF(B13&gt;=2,IFERROR(H22/(EXP(H24/(H29*9.80665))-1)-H56-B8, ""),IFERROR(E22/(EXP(E24/(E29*9.80665))-1)-E56-B8, "")))</f>
        <v/>
      </c>
      <c r="C59" s="27" t="inlineStr">
        <is>
          <t>← Solved from last stage: m_payload = prop/(e^(ΔV/Isp·g₀)−1) − dry − adapter</t>
        </is>
      </c>
    </row>
    <row r="61" ht="18" customHeight="1">
      <c r="A61" s="7" t="inlineStr">
        <is>
          <t>GTO PERFORMANCE</t>
        </is>
      </c>
    </row>
    <row r="62">
      <c r="A62" s="25" t="inlineStr">
        <is>
          <t>MAX PAYLOAD TO GTO</t>
        </is>
      </c>
      <c r="B62" s="26">
        <f>IF(B13&gt;=3,IFERROR(K22/(EXP(K31/(K29*9.80665))-1)-K56-B8, ""),IF(B13&gt;=2,IFERROR(H22/(EXP(H31/(H29*9.80665))-1)-H56-B8, ""),IFERROR(E22/(EXP(E31/(E29*9.80665))-1)-E56-B8, "")))</f>
        <v/>
      </c>
      <c r="C62" s="27" t="inlineStr">
        <is>
          <t>← Solved from last stage using GTO ΔV allocations: m_payload = prop/(e^(ΔV/Isp·g₀)−1) − dry − adapter</t>
        </is>
      </c>
    </row>
    <row r="63">
      <c r="A63" s="8" t="inlineStr">
        <is>
          <t>Gross Stage Mass (Prop + Dry)</t>
        </is>
      </c>
      <c r="B63" s="12" t="inlineStr">
        <is>
          <t>kg</t>
        </is>
      </c>
      <c r="E63" s="21">
        <f>IFERROR(E22+E56, "")</f>
        <v/>
      </c>
      <c r="H63" s="21">
        <f>IFERROR(H22+H56, "")</f>
        <v/>
      </c>
      <c r="K63" s="21">
        <f>IFERROR(K22+K56, "")</f>
        <v/>
      </c>
    </row>
    <row r="64">
      <c r="A64" s="8" t="inlineStr">
        <is>
          <t>Burnout Mass m_f</t>
        </is>
      </c>
      <c r="B64" s="12" t="inlineStr">
        <is>
          <t>kg</t>
        </is>
      </c>
      <c r="E64" s="21">
        <f>IFERROR(E56+IFERROR(H63*1,0)+IFERROR(K63*1,0)+B59+B8, "")</f>
        <v/>
      </c>
      <c r="H64" s="21">
        <f>IFERROR(H56+IFERROR(K63*1,0)+B59+B8, "")</f>
        <v/>
      </c>
      <c r="K64" s="21">
        <f>IFERROR(K56+B59+B8, "")</f>
        <v/>
      </c>
    </row>
    <row r="65">
      <c r="A65" s="8" t="inlineStr">
        <is>
          <t>Initial Mass m_0 (at ignition)</t>
        </is>
      </c>
      <c r="B65" s="12" t="inlineStr">
        <is>
          <t>kg</t>
        </is>
      </c>
      <c r="E65" s="21">
        <f>IFERROR(E64+E22, "")</f>
        <v/>
      </c>
      <c r="H65" s="21">
        <f>IFERROR(H64+H22, "")</f>
        <v/>
      </c>
      <c r="K65" s="21">
        <f>IFERROR(K64+K22, "")</f>
        <v/>
      </c>
    </row>
    <row r="66">
      <c r="A66" s="8" t="inlineStr">
        <is>
          <t>Mass Ratio (m₀ / m_f)</t>
        </is>
      </c>
      <c r="B66" s="12" t="inlineStr">
        <is>
          <t>—</t>
        </is>
      </c>
      <c r="E66" s="28">
        <f>IFERROR(E65/E64, "")</f>
        <v/>
      </c>
      <c r="H66" s="28">
        <f>IFERROR(H65/H64, "")</f>
        <v/>
      </c>
      <c r="K66" s="28">
        <f>IFERROR(K65/K64, "")</f>
        <v/>
      </c>
    </row>
    <row r="67">
      <c r="A67" s="23" t="inlineStr">
        <is>
          <t>Actual Stage ΔV (verification)</t>
        </is>
      </c>
      <c r="B67" s="24" t="inlineStr">
        <is>
          <t>m/s</t>
        </is>
      </c>
      <c r="E67" s="13">
        <f>IFERROR(E29*9.80665*LN(E66), "")</f>
        <v/>
      </c>
      <c r="H67" s="13">
        <f>IFERROR(H29*9.80665*LN(H66), "")</f>
        <v/>
      </c>
      <c r="K67" s="13">
        <f>IFERROR(K29*9.80665*LN(K66), "")</f>
        <v/>
      </c>
    </row>
    <row r="68">
      <c r="A68" s="8" t="inlineStr">
        <is>
          <t>Thrust-to-Weight Ratio (at ignition)</t>
        </is>
      </c>
      <c r="B68" s="12" t="inlineStr">
        <is>
          <t>—</t>
        </is>
      </c>
      <c r="E68" s="29">
        <f>IFERROR(E18*IFERROR(VLOOKUP(E17,'Engine DB'!$A:$K,7,0),0)*1000/(E65*9.80665), "")</f>
        <v/>
      </c>
      <c r="H68" s="29">
        <f>IFERROR(H18*IFERROR(VLOOKUP(H17,'Engine DB'!$A:$K,6,0),0)*1000/(H65*9.80665), "")</f>
        <v/>
      </c>
      <c r="K68" s="29">
        <f>IFERROR(K18*IFERROR(VLOOKUP(K17,'Engine DB'!$A:$K,6,0),0)*1000/(K65*9.80665), "")</f>
        <v/>
      </c>
    </row>
    <row r="69">
      <c r="A69" s="8" t="inlineStr">
        <is>
          <t>Propellant Mass Fraction</t>
        </is>
      </c>
      <c r="B69" s="12" t="inlineStr">
        <is>
          <t>—</t>
        </is>
      </c>
      <c r="E69" s="28">
        <f>IFERROR(E22/E65, "")</f>
        <v/>
      </c>
      <c r="H69" s="28">
        <f>IFERROR(H22/H65, "")</f>
        <v/>
      </c>
      <c r="K69" s="28">
        <f>IFERROR(K22/K65, "")</f>
        <v/>
      </c>
    </row>
    <row r="71" ht="18" customHeight="1">
      <c r="A71" s="7" t="inlineStr">
        <is>
          <t>VEHICLE SUMMARY</t>
        </is>
      </c>
    </row>
    <row r="72">
      <c r="A72" s="30" t="inlineStr">
        <is>
          <t>Max Payload to LEO</t>
        </is>
      </c>
      <c r="B72" s="31">
        <f>B59</f>
        <v/>
      </c>
      <c r="C72" s="32" t="inlineStr">
        <is>
          <t>kg</t>
        </is>
      </c>
    </row>
    <row r="73">
      <c r="A73" s="30" t="inlineStr">
        <is>
          <t>Max Payload to GTO</t>
        </is>
      </c>
      <c r="B73" s="31">
        <f>B62</f>
        <v/>
      </c>
      <c r="C73" s="32" t="inlineStr">
        <is>
          <t>kg</t>
        </is>
      </c>
    </row>
    <row r="74">
      <c r="A74" s="33" t="inlineStr">
        <is>
          <t>LEO Payload Fraction (GLOW)</t>
        </is>
      </c>
      <c r="B74" s="34">
        <f>IFERROR(B59/E65*100, "")</f>
        <v/>
      </c>
      <c r="C74" s="32" t="inlineStr">
        <is>
          <t>%</t>
        </is>
      </c>
    </row>
    <row r="75">
      <c r="A75" s="33" t="inlineStr">
        <is>
          <t>Total Vehicle ΔV (actual)</t>
        </is>
      </c>
      <c r="B75" s="35">
        <f>IFERROR(E67*1,0)+IFERROR(H67*1,0)+IFERROR(K67*1,0)</f>
        <v/>
      </c>
      <c r="C75" s="32" t="inlineStr">
        <is>
          <t>m/s</t>
        </is>
      </c>
    </row>
    <row r="76">
      <c r="A76" s="33" t="inlineStr">
        <is>
          <t>LEO ΔV Margin vs Mission</t>
        </is>
      </c>
      <c r="B76" s="35">
        <f>IFERROR(E67*1,0)+IFERROR(H67*1,0)+IFERROR(K67*1,0)-B37</f>
        <v/>
      </c>
      <c r="C76" s="32" t="inlineStr">
        <is>
          <t>m/s</t>
        </is>
      </c>
    </row>
    <row r="77">
      <c r="A77" s="33" t="inlineStr">
        <is>
          <t>Gross Liftoff Mass (GLOW)</t>
        </is>
      </c>
      <c r="B77" s="35">
        <f>IFERROR(E65, "")</f>
        <v/>
      </c>
      <c r="C77" s="32" t="inlineStr">
        <is>
          <t>kg</t>
        </is>
      </c>
    </row>
    <row r="78">
      <c r="A78" s="33" t="inlineStr">
        <is>
          <t>Total Propellant Mass</t>
        </is>
      </c>
      <c r="B78" s="35">
        <f>IFERROR(E22,0)+IFERROR(H22,0)+IFERROR(K22,0)</f>
        <v/>
      </c>
      <c r="C78" s="32" t="inlineStr">
        <is>
          <t>kg</t>
        </is>
      </c>
    </row>
  </sheetData>
  <mergeCells count="21">
    <mergeCell ref="A58:K58"/>
    <mergeCell ref="C39:L39"/>
    <mergeCell ref="C8:L8"/>
    <mergeCell ref="A15:K15"/>
    <mergeCell ref="A61:K61"/>
    <mergeCell ref="C13:L13"/>
    <mergeCell ref="C62:L62"/>
    <mergeCell ref="G3:H3"/>
    <mergeCell ref="A1:M1"/>
    <mergeCell ref="A5:B5"/>
    <mergeCell ref="A33:K33"/>
    <mergeCell ref="A71:K71"/>
    <mergeCell ref="A42:K42"/>
    <mergeCell ref="C10:L10"/>
    <mergeCell ref="D3:E3"/>
    <mergeCell ref="J3:K3"/>
    <mergeCell ref="C9:L9"/>
    <mergeCell ref="C59:L59"/>
    <mergeCell ref="C12:L12"/>
    <mergeCell ref="A2:M2"/>
    <mergeCell ref="C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A4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LAUNCH VEHICLE DESIGN TOOL — User Guide</t>
        </is>
      </c>
    </row>
    <row r="3" ht="16" customHeight="1">
      <c r="A3" s="36" t="inlineStr">
        <is>
          <t>HOW TO USE</t>
        </is>
      </c>
    </row>
    <row r="4" ht="16" customHeight="1">
      <c r="A4" s="37" t="inlineStr">
        <is>
          <t>1.  Go to 'Vehicle Design' tab — this is your main working sheet.</t>
        </is>
      </c>
    </row>
    <row r="5" ht="16" customHeight="1">
      <c r="A5" s="37" t="inlineStr">
        <is>
          <t>2.  Fill in Mission Requirements (yellow cells): payload mass, target orbit, delta-v budget.</t>
        </is>
      </c>
    </row>
    <row r="6" ht="16" customHeight="1">
      <c r="A6" s="37" t="inlineStr">
        <is>
          <t>3.  For each stage, enter the number of stages (1-3) and configure each stage:</t>
        </is>
      </c>
    </row>
    <row r="7" ht="16" customHeight="1">
      <c r="A7" s="37" t="inlineStr">
        <is>
          <t xml:space="preserve">      • Engine: Type the exact engine name from the 'Engine DB' tab. Isp will auto-populate via VLOOKUP.</t>
        </is>
      </c>
    </row>
    <row r="8" ht="16" customHeight="1">
      <c r="A8" s="37" t="inlineStr">
        <is>
          <t xml:space="preserve">      • Number of Engines: How many of that engine on this stage.</t>
        </is>
      </c>
    </row>
    <row r="9" ht="16" customHeight="1">
      <c r="A9" s="37" t="inlineStr">
        <is>
          <t xml:space="preserve">      • Propellant Combination: Must match exactly (e.g. LOX/RP-1, LOX/LH2, LOX/CH4, Solid HTPB, NTO/MMH).</t>
        </is>
      </c>
    </row>
    <row r="10" ht="16" customHeight="1">
      <c r="A10" s="37" t="inlineStr">
        <is>
          <t xml:space="preserve">      • Propellant Mass: Total usable propellant mass for this stage in kg.</t>
        </is>
      </c>
    </row>
    <row r="11" ht="16" customHeight="1">
      <c r="A11" s="37" t="inlineStr">
        <is>
          <t xml:space="preserve">      • Vac Isp Override: Leave blank to use the Engine DB value. Enter a number to override.</t>
        </is>
      </c>
    </row>
    <row r="12" ht="16" customHeight="1">
      <c r="A12" s="37" t="inlineStr"/>
    </row>
    <row r="13" ht="16" customHeight="1">
      <c r="A13" s="37" t="inlineStr">
        <is>
          <t>4.  Subsystem masses auto-calculate from parametric models in the 'Propellants' tab.</t>
        </is>
      </c>
    </row>
    <row r="14" ht="16" customHeight="1">
      <c r="A14" s="37" t="inlineStr">
        <is>
          <t xml:space="preserve">      • Yellow cells in the subsystem section can be manually overridden with known values.</t>
        </is>
      </c>
    </row>
    <row r="15" ht="16" customHeight="1">
      <c r="A15" s="37" t="inlineStr">
        <is>
          <t xml:space="preserve">      • Use 'Dry Mass Override' if you have a known dry mass (e.g. from a reference vehicle).</t>
        </is>
      </c>
    </row>
    <row r="16" ht="16" customHeight="1">
      <c r="A16" s="37" t="inlineStr"/>
    </row>
    <row r="17" ht="16" customHeight="1">
      <c r="A17" s="37" t="inlineStr">
        <is>
          <t>5.  Performance section calculates automatically:</t>
        </is>
      </c>
    </row>
    <row r="18" ht="16" customHeight="1">
      <c r="A18" s="37" t="inlineStr">
        <is>
          <t xml:space="preserve">      • Delta-V per stage via Tsiolkovsky equation: ΔV = Isp × g₀ × ln(m₀/m_f)</t>
        </is>
      </c>
    </row>
    <row r="19" ht="16" customHeight="1">
      <c r="A19" s="37" t="inlineStr">
        <is>
          <t xml:space="preserve">      • Burnout mass accounts for all upper stages + payload + payload adapter.</t>
        </is>
      </c>
    </row>
    <row r="20" ht="16" customHeight="1">
      <c r="A20" s="37" t="inlineStr">
        <is>
          <t xml:space="preserve">      • TWR uses sea-level thrust for Stage 1, vacuum thrust for upper stages.</t>
        </is>
      </c>
    </row>
    <row r="21" ht="16" customHeight="1">
      <c r="A21" s="37" t="inlineStr"/>
    </row>
    <row r="22" ht="16" customHeight="1">
      <c r="A22" s="36" t="inlineStr">
        <is>
          <t>TIPS &amp; RULES OF THUMB</t>
        </is>
      </c>
    </row>
    <row r="23" ht="16" customHeight="1">
      <c r="A23" s="37" t="inlineStr">
        <is>
          <t>• LEO missions typically need 9,000–9,500 m/s total ΔV (includes ~1,500 m/s gravity+drag losses).</t>
        </is>
      </c>
    </row>
    <row r="24" ht="16" customHeight="1">
      <c r="A24" s="37" t="inlineStr">
        <is>
          <t>• GTO missions need ~11,500–12,500 m/s depending on inclination.</t>
        </is>
      </c>
    </row>
    <row r="25" ht="16" customHeight="1">
      <c r="A25" s="37" t="inlineStr">
        <is>
          <t>• First stage TWR should be 1.2–1.5 at liftoff; too low = slow ascent; too high = unnecessary mass.</t>
        </is>
      </c>
    </row>
    <row r="26" ht="16" customHeight="1">
      <c r="A26" s="37" t="inlineStr">
        <is>
          <t>• Payload fraction for real vehicles: 1.5–4% to LEO is typical.</t>
        </is>
      </c>
    </row>
    <row r="27" ht="16" customHeight="1">
      <c r="A27" s="37" t="inlineStr">
        <is>
          <t>• Structural mass fraction (dry/propellant) is typically 5–15%; lower is better engineering.</t>
        </is>
      </c>
    </row>
    <row r="28" ht="16" customHeight="1">
      <c r="A28" s="37" t="inlineStr">
        <is>
          <t>• LOX/LH2 gives the highest Isp (~450s) but low density means large, heavy tanks.</t>
        </is>
      </c>
    </row>
    <row r="29" ht="16" customHeight="1">
      <c r="A29" s="37" t="inlineStr">
        <is>
          <t>• LOX/RP-1 gives good density and SL performance; workhorse of most first stages.</t>
        </is>
      </c>
    </row>
    <row r="30" ht="16" customHeight="1">
      <c r="A30" s="37" t="inlineStr">
        <is>
          <t>• LOX/CH4 is the emerging choice for reusability; good Isp + density balance.</t>
        </is>
      </c>
    </row>
    <row r="31" ht="16" customHeight="1">
      <c r="A31" s="37" t="inlineStr"/>
    </row>
    <row r="32" ht="16" customHeight="1">
      <c r="A32" s="36" t="inlineStr">
        <is>
          <t>REFERENCE TABS</t>
        </is>
      </c>
    </row>
    <row r="33" ht="16" customHeight="1">
      <c r="A33" s="37" t="inlineStr">
        <is>
          <t>• Engine DB:   Real engine performance data for 35+ engines. Add your own rows at the bottom.</t>
        </is>
      </c>
    </row>
    <row r="34" ht="16" customHeight="1">
      <c r="A34" s="37" t="inlineStr">
        <is>
          <t>• Vehicle DB:  Real vehicle mass breakdowns for 11 vehicles. Use for design grounding.</t>
        </is>
      </c>
    </row>
    <row r="35" ht="16" customHeight="1">
      <c r="A35" s="37" t="inlineStr">
        <is>
          <t>• Propellants: Propellant properties + subsystem mass fraction model documentation.</t>
        </is>
      </c>
    </row>
    <row r="36" ht="16" customHeight="1">
      <c r="A36" s="37" t="inlineStr">
        <is>
          <t>• Comparison:  Quick performance comparison table across all reference vehicles.</t>
        </is>
      </c>
    </row>
    <row r="37" ht="16" customHeight="1">
      <c r="A37" s="37" t="inlineStr"/>
    </row>
    <row r="38" ht="16" customHeight="1">
      <c r="A38" s="36" t="inlineStr">
        <is>
          <t>LIMITATIONS</t>
        </is>
      </c>
    </row>
    <row r="39" ht="16" customHeight="1">
      <c r="A39" s="37" t="inlineStr">
        <is>
          <t>• This tool uses simplified mass models. Real designs require detailed MDO and stress analysis.</t>
        </is>
      </c>
    </row>
    <row r="40" ht="16" customHeight="1">
      <c r="A40" s="37" t="inlineStr">
        <is>
          <t>• Delta-V calculations assume impulsive burns (no trajectory shaping or staging timing).</t>
        </is>
      </c>
    </row>
    <row r="41" ht="16" customHeight="1">
      <c r="A41" s="37" t="inlineStr">
        <is>
          <t>• Subsystem fractions are statistical — early concept accuracy is ±20–30%.</t>
        </is>
      </c>
    </row>
    <row r="42" ht="16" customHeight="1">
      <c r="A42" s="37" t="inlineStr">
        <is>
          <t>• Solid stages show N/A for SL Isp in engine DB — use Vac Isp as a conservative estimate.</t>
        </is>
      </c>
    </row>
    <row r="43" ht="16" customHeight="1">
      <c r="A43" s="37" t="inlineStr">
        <is>
          <t>• Parallel staging (e.g. strap-on boosters firing simultaneously with a core) is not modeled.</t>
        </is>
      </c>
    </row>
    <row r="44" ht="16" customHeight="1">
      <c r="A44" s="37" t="inlineStr">
        <is>
          <t xml:space="preserve">  Treat parallel-burn vehicles (Soyuz, Ariane 5) as series stages for delta-v calculation.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360C"/>
    <outlinePr summaryBelow="1" summaryRight="1"/>
    <pageSetUpPr/>
  </sheetPr>
  <dimension ref="A1:K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5" customWidth="1" min="10" max="10"/>
    <col width="45" customWidth="1" min="11" max="11"/>
  </cols>
  <sheetData>
    <row r="1" ht="22" customHeight="1">
      <c r="A1" s="1" t="inlineStr">
        <is>
          <t>ROCKET ENGINE DATABASE — Real-World Performance Data</t>
        </is>
      </c>
    </row>
    <row r="2" ht="30" customHeight="1">
      <c r="A2" s="38" t="inlineStr">
        <is>
          <t>Engine Name</t>
        </is>
      </c>
      <c r="B2" s="38" t="inlineStr">
        <is>
          <t>Vehicle Application</t>
        </is>
      </c>
      <c r="C2" s="38" t="inlineStr">
        <is>
          <t>Propellant</t>
        </is>
      </c>
      <c r="D2" s="38" t="inlineStr">
        <is>
          <t>Vac Isp (s)</t>
        </is>
      </c>
      <c r="E2" s="38" t="inlineStr">
        <is>
          <t>SL Isp (s)</t>
        </is>
      </c>
      <c r="F2" s="38" t="inlineStr">
        <is>
          <t>Vac Thrust (kN)</t>
        </is>
      </c>
      <c r="G2" s="38" t="inlineStr">
        <is>
          <t>SL Thrust (kN)</t>
        </is>
      </c>
      <c r="H2" s="38" t="inlineStr">
        <is>
          <t>Engine Mass (kg)</t>
        </is>
      </c>
      <c r="I2" s="38" t="inlineStr">
        <is>
          <t>Chamber Press (bar)</t>
        </is>
      </c>
      <c r="J2" s="38" t="inlineStr">
        <is>
          <t>Expansion Ratio</t>
        </is>
      </c>
      <c r="K2" s="38" t="inlineStr">
        <is>
          <t>Notes</t>
        </is>
      </c>
    </row>
    <row r="3" ht="18" customHeight="1">
      <c r="A3" s="7" t="inlineStr">
        <is>
          <t>── LOX/RP-1 ──</t>
        </is>
      </c>
    </row>
    <row r="4" ht="15" customHeight="1">
      <c r="A4" s="39" t="inlineStr">
        <is>
          <t>Merlin 1D</t>
        </is>
      </c>
      <c r="B4" s="39" t="inlineStr">
        <is>
          <t>Falcon 9 S1</t>
        </is>
      </c>
      <c r="C4" s="40" t="inlineStr">
        <is>
          <t>LOX/RP-1</t>
        </is>
      </c>
      <c r="D4" s="40" t="n">
        <v>311</v>
      </c>
      <c r="E4" s="40" t="n">
        <v>282</v>
      </c>
      <c r="F4" s="40" t="n">
        <v>934</v>
      </c>
      <c r="G4" s="40" t="n">
        <v>845</v>
      </c>
      <c r="H4" s="40" t="n">
        <v>470</v>
      </c>
      <c r="I4" s="40" t="n">
        <v>97</v>
      </c>
      <c r="J4" s="40" t="n">
        <v>16</v>
      </c>
      <c r="K4" s="39" t="inlineStr">
        <is>
          <t>9 engines on F9 first stage; sea-level optimized</t>
        </is>
      </c>
    </row>
    <row r="5" ht="15" customHeight="1">
      <c r="A5" s="39" t="inlineStr">
        <is>
          <t>Merlin 1D Vac</t>
        </is>
      </c>
      <c r="B5" s="39" t="inlineStr">
        <is>
          <t>Falcon 9 S2</t>
        </is>
      </c>
      <c r="C5" s="40" t="inlineStr">
        <is>
          <t>LOX/RP-1</t>
        </is>
      </c>
      <c r="D5" s="40" t="n">
        <v>348</v>
      </c>
      <c r="E5" s="40" t="inlineStr">
        <is>
          <t>—</t>
        </is>
      </c>
      <c r="F5" s="40" t="n">
        <v>934</v>
      </c>
      <c r="G5" s="40" t="inlineStr">
        <is>
          <t>—</t>
        </is>
      </c>
      <c r="H5" s="40" t="n">
        <v>490</v>
      </c>
      <c r="I5" s="40" t="n">
        <v>97</v>
      </c>
      <c r="J5" s="40" t="n">
        <v>165</v>
      </c>
      <c r="K5" s="39" t="inlineStr">
        <is>
          <t>Vacuum-optimized fixed nozzle extension</t>
        </is>
      </c>
    </row>
    <row r="6" ht="15" customHeight="1">
      <c r="A6" s="39" t="inlineStr">
        <is>
          <t>RD-180</t>
        </is>
      </c>
      <c r="B6" s="39" t="inlineStr">
        <is>
          <t>Atlas V CBC</t>
        </is>
      </c>
      <c r="C6" s="40" t="inlineStr">
        <is>
          <t>LOX/RP-1</t>
        </is>
      </c>
      <c r="D6" s="40" t="n">
        <v>338</v>
      </c>
      <c r="E6" s="40" t="n">
        <v>311</v>
      </c>
      <c r="F6" s="40" t="n">
        <v>4152</v>
      </c>
      <c r="G6" s="40" t="n">
        <v>3828</v>
      </c>
      <c r="H6" s="40" t="n">
        <v>5480</v>
      </c>
      <c r="I6" s="40" t="n">
        <v>257</v>
      </c>
      <c r="J6" s="40" t="n">
        <v>36.4</v>
      </c>
      <c r="K6" s="39" t="inlineStr">
        <is>
          <t>Dual-chamber single-turbopump; Russian-designed</t>
        </is>
      </c>
    </row>
    <row r="7" ht="15" customHeight="1">
      <c r="A7" s="39" t="inlineStr">
        <is>
          <t>RD-107A</t>
        </is>
      </c>
      <c r="B7" s="39" t="inlineStr">
        <is>
          <t>Soyuz Strap-on</t>
        </is>
      </c>
      <c r="C7" s="40" t="inlineStr">
        <is>
          <t>LOX/RP-1</t>
        </is>
      </c>
      <c r="D7" s="40" t="n">
        <v>320</v>
      </c>
      <c r="E7" s="40" t="n">
        <v>263</v>
      </c>
      <c r="F7" s="40" t="n">
        <v>1020</v>
      </c>
      <c r="G7" s="40" t="n">
        <v>838</v>
      </c>
      <c r="H7" s="40" t="n">
        <v>1190</v>
      </c>
      <c r="I7" s="40" t="n">
        <v>60</v>
      </c>
      <c r="J7" s="40" t="n">
        <v>21</v>
      </c>
      <c r="K7" s="39" t="inlineStr">
        <is>
          <t>4 strap-on boosters; 4 fixed + 4 vernier chambers</t>
        </is>
      </c>
    </row>
    <row r="8" ht="15" customHeight="1">
      <c r="A8" s="39" t="inlineStr">
        <is>
          <t>RD-108A</t>
        </is>
      </c>
      <c r="B8" s="39" t="inlineStr">
        <is>
          <t>Soyuz Core</t>
        </is>
      </c>
      <c r="C8" s="40" t="inlineStr">
        <is>
          <t>LOX/RP-1</t>
        </is>
      </c>
      <c r="D8" s="40" t="n">
        <v>320</v>
      </c>
      <c r="E8" s="40" t="n">
        <v>257</v>
      </c>
      <c r="F8" s="40" t="n">
        <v>990</v>
      </c>
      <c r="G8" s="40" t="n">
        <v>792</v>
      </c>
      <c r="H8" s="40" t="n">
        <v>1278</v>
      </c>
      <c r="I8" s="40" t="n">
        <v>60</v>
      </c>
      <c r="J8" s="40" t="n">
        <v>21</v>
      </c>
      <c r="K8" s="39" t="inlineStr">
        <is>
          <t>Core stage; 4 main + 4 vernier chambers</t>
        </is>
      </c>
    </row>
    <row r="9" ht="15" customHeight="1">
      <c r="A9" s="39" t="inlineStr">
        <is>
          <t>RD-0124</t>
        </is>
      </c>
      <c r="B9" s="39" t="inlineStr">
        <is>
          <t>Soyuz S3 / Angara S2</t>
        </is>
      </c>
      <c r="C9" s="40" t="inlineStr">
        <is>
          <t>LOX/RP-1</t>
        </is>
      </c>
      <c r="D9" s="40" t="n">
        <v>359</v>
      </c>
      <c r="E9" s="40" t="n">
        <v>311</v>
      </c>
      <c r="F9" s="40" t="n">
        <v>294</v>
      </c>
      <c r="G9" s="40" t="inlineStr">
        <is>
          <t>—</t>
        </is>
      </c>
      <c r="H9" s="40" t="n">
        <v>480</v>
      </c>
      <c r="I9" s="40" t="n">
        <v>157</v>
      </c>
      <c r="J9" s="40" t="n">
        <v>30</v>
      </c>
      <c r="K9" s="39" t="inlineStr">
        <is>
          <t>High-performance staged combustion upper stage</t>
        </is>
      </c>
    </row>
    <row r="10" ht="15" customHeight="1">
      <c r="A10" s="39" t="inlineStr">
        <is>
          <t>F-1</t>
        </is>
      </c>
      <c r="B10" s="39" t="inlineStr">
        <is>
          <t>Saturn V S-IC</t>
        </is>
      </c>
      <c r="C10" s="40" t="inlineStr">
        <is>
          <t>LOX/RP-1</t>
        </is>
      </c>
      <c r="D10" s="40" t="n">
        <v>304</v>
      </c>
      <c r="E10" s="40" t="n">
        <v>263</v>
      </c>
      <c r="F10" s="40" t="n">
        <v>7740</v>
      </c>
      <c r="G10" s="40" t="n">
        <v>6770</v>
      </c>
      <c r="H10" s="40" t="n">
        <v>8391</v>
      </c>
      <c r="I10" s="40" t="n">
        <v>70</v>
      </c>
      <c r="J10" s="40" t="n">
        <v>16</v>
      </c>
      <c r="K10" s="39" t="inlineStr">
        <is>
          <t>5 engines on Saturn V first stage; largest US engine</t>
        </is>
      </c>
    </row>
    <row r="11" ht="15" customHeight="1">
      <c r="A11" s="39" t="inlineStr">
        <is>
          <t>RD-191</t>
        </is>
      </c>
      <c r="B11" s="39" t="inlineStr">
        <is>
          <t>Angara S1</t>
        </is>
      </c>
      <c r="C11" s="40" t="inlineStr">
        <is>
          <t>LOX/RP-1</t>
        </is>
      </c>
      <c r="D11" s="40" t="n">
        <v>337</v>
      </c>
      <c r="E11" s="40" t="n">
        <v>311</v>
      </c>
      <c r="F11" s="40" t="n">
        <v>2090</v>
      </c>
      <c r="G11" s="40" t="n">
        <v>1922</v>
      </c>
      <c r="H11" s="40" t="n">
        <v>2200</v>
      </c>
      <c r="I11" s="40" t="n">
        <v>263</v>
      </c>
      <c r="J11" s="40" t="n">
        <v>37</v>
      </c>
      <c r="K11" s="39" t="inlineStr">
        <is>
          <t>Single-chamber RD-180 derivative</t>
        </is>
      </c>
    </row>
    <row r="12" ht="15" customHeight="1">
      <c r="A12" s="39" t="inlineStr">
        <is>
          <t>NK-33 (AJ-26)</t>
        </is>
      </c>
      <c r="B12" s="39" t="inlineStr">
        <is>
          <t>Antares S1</t>
        </is>
      </c>
      <c r="C12" s="40" t="inlineStr">
        <is>
          <t>LOX/RP-1</t>
        </is>
      </c>
      <c r="D12" s="40" t="n">
        <v>331</v>
      </c>
      <c r="E12" s="40" t="n">
        <v>297</v>
      </c>
      <c r="F12" s="40" t="n">
        <v>1638</v>
      </c>
      <c r="G12" s="40" t="n">
        <v>1510</v>
      </c>
      <c r="H12" s="40" t="n">
        <v>1222</v>
      </c>
      <c r="I12" s="40" t="n">
        <v>146</v>
      </c>
      <c r="J12" s="40" t="n">
        <v>27</v>
      </c>
      <c r="K12" s="39" t="inlineStr">
        <is>
          <t>Soviet N1 engine; modernized as AJ-26</t>
        </is>
      </c>
    </row>
    <row r="13" ht="15" customHeight="1">
      <c r="A13" s="39" t="inlineStr">
        <is>
          <t>Rutherford</t>
        </is>
      </c>
      <c r="B13" s="39" t="inlineStr">
        <is>
          <t>Electron S1</t>
        </is>
      </c>
      <c r="C13" s="40" t="inlineStr">
        <is>
          <t>LOX/RP-1</t>
        </is>
      </c>
      <c r="D13" s="40" t="n">
        <v>311</v>
      </c>
      <c r="E13" s="40" t="n">
        <v>303</v>
      </c>
      <c r="F13" s="40" t="n">
        <v>24</v>
      </c>
      <c r="G13" s="40" t="n">
        <v>22</v>
      </c>
      <c r="H13" s="40" t="n">
        <v>35</v>
      </c>
      <c r="I13" s="40" t="n">
        <v>145</v>
      </c>
      <c r="J13" s="40" t="n">
        <v>11</v>
      </c>
      <c r="K13" s="39" t="inlineStr">
        <is>
          <t>9 engines; electric-pump cycle; additive manufactured</t>
        </is>
      </c>
    </row>
    <row r="14" ht="15" customHeight="1">
      <c r="A14" s="39" t="inlineStr">
        <is>
          <t>Rutherford Vac</t>
        </is>
      </c>
      <c r="B14" s="39" t="inlineStr">
        <is>
          <t>Electron S2</t>
        </is>
      </c>
      <c r="C14" s="40" t="inlineStr">
        <is>
          <t>LOX/RP-1</t>
        </is>
      </c>
      <c r="D14" s="40" t="n">
        <v>343</v>
      </c>
      <c r="E14" s="40" t="inlineStr">
        <is>
          <t>—</t>
        </is>
      </c>
      <c r="F14" s="40" t="n">
        <v>25</v>
      </c>
      <c r="G14" s="40" t="inlineStr">
        <is>
          <t>—</t>
        </is>
      </c>
      <c r="H14" s="40" t="n">
        <v>35</v>
      </c>
      <c r="I14" s="40" t="n">
        <v>145</v>
      </c>
      <c r="J14" s="40" t="n">
        <v>250</v>
      </c>
      <c r="K14" s="39" t="inlineStr">
        <is>
          <t>Vacuum variant; electric-pump cycle</t>
        </is>
      </c>
    </row>
    <row r="15" ht="18" customHeight="1">
      <c r="A15" s="7" t="inlineStr">
        <is>
          <t>── LOX/LH2 ──</t>
        </is>
      </c>
    </row>
    <row r="16" ht="15" customHeight="1">
      <c r="A16" s="39" t="inlineStr">
        <is>
          <t>RS-25 (SSME)</t>
        </is>
      </c>
      <c r="B16" s="39" t="inlineStr">
        <is>
          <t>SLS Core / Shuttle</t>
        </is>
      </c>
      <c r="C16" s="40" t="inlineStr">
        <is>
          <t>LOX/LH2</t>
        </is>
      </c>
      <c r="D16" s="40" t="n">
        <v>452</v>
      </c>
      <c r="E16" s="40" t="n">
        <v>366</v>
      </c>
      <c r="F16" s="40" t="n">
        <v>2090</v>
      </c>
      <c r="G16" s="40" t="n">
        <v>1860</v>
      </c>
      <c r="H16" s="40" t="n">
        <v>3177</v>
      </c>
      <c r="I16" s="40" t="n">
        <v>206</v>
      </c>
      <c r="J16" s="40" t="n">
        <v>69</v>
      </c>
      <c r="K16" s="39" t="inlineStr">
        <is>
          <t>3x on SLS; 4x on Shuttle; high-performance SSME</t>
        </is>
      </c>
    </row>
    <row r="17" ht="15" customHeight="1">
      <c r="A17" s="39" t="inlineStr">
        <is>
          <t>RL-10A-4-2</t>
        </is>
      </c>
      <c r="B17" s="39" t="inlineStr">
        <is>
          <t>Atlas V Centaur</t>
        </is>
      </c>
      <c r="C17" s="40" t="inlineStr">
        <is>
          <t>LOX/LH2</t>
        </is>
      </c>
      <c r="D17" s="40" t="n">
        <v>451</v>
      </c>
      <c r="E17" s="40" t="inlineStr">
        <is>
          <t>—</t>
        </is>
      </c>
      <c r="F17" s="40" t="n">
        <v>99</v>
      </c>
      <c r="G17" s="40" t="inlineStr">
        <is>
          <t>—</t>
        </is>
      </c>
      <c r="H17" s="40" t="n">
        <v>168</v>
      </c>
      <c r="I17" s="40" t="n">
        <v>28</v>
      </c>
      <c r="J17" s="40" t="n">
        <v>84</v>
      </c>
      <c r="K17" s="39" t="inlineStr">
        <is>
          <t>Expander cycle; multiple restarts</t>
        </is>
      </c>
    </row>
    <row r="18" ht="15" customHeight="1">
      <c r="A18" s="39" t="inlineStr">
        <is>
          <t>RL-10B-2</t>
        </is>
      </c>
      <c r="B18" s="39" t="inlineStr">
        <is>
          <t>Delta IV DCSS</t>
        </is>
      </c>
      <c r="C18" s="40" t="inlineStr">
        <is>
          <t>LOX/LH2</t>
        </is>
      </c>
      <c r="D18" s="40" t="n">
        <v>462</v>
      </c>
      <c r="E18" s="40" t="inlineStr">
        <is>
          <t>—</t>
        </is>
      </c>
      <c r="F18" s="40" t="n">
        <v>110</v>
      </c>
      <c r="G18" s="40" t="inlineStr">
        <is>
          <t>—</t>
        </is>
      </c>
      <c r="H18" s="40" t="n">
        <v>277</v>
      </c>
      <c r="I18" s="40" t="n">
        <v>44</v>
      </c>
      <c r="J18" s="40" t="n">
        <v>285</v>
      </c>
      <c r="K18" s="39" t="inlineStr">
        <is>
          <t>Extendable carbon-carbon nozzle</t>
        </is>
      </c>
    </row>
    <row r="19" ht="15" customHeight="1">
      <c r="A19" s="39" t="inlineStr">
        <is>
          <t>RL-10C-1</t>
        </is>
      </c>
      <c r="B19" s="39" t="inlineStr">
        <is>
          <t>Vulcan Centaur</t>
        </is>
      </c>
      <c r="C19" s="40" t="inlineStr">
        <is>
          <t>LOX/LH2</t>
        </is>
      </c>
      <c r="D19" s="40" t="n">
        <v>450</v>
      </c>
      <c r="E19" s="40" t="inlineStr">
        <is>
          <t>—</t>
        </is>
      </c>
      <c r="F19" s="40" t="n">
        <v>102</v>
      </c>
      <c r="G19" s="40" t="inlineStr">
        <is>
          <t>—</t>
        </is>
      </c>
      <c r="H19" s="40" t="n">
        <v>190</v>
      </c>
      <c r="I19" s="40" t="n">
        <v>34</v>
      </c>
      <c r="J19" s="40" t="n">
        <v>84</v>
      </c>
      <c r="K19" s="39" t="inlineStr">
        <is>
          <t>Updated RL-10; simplified nozzle</t>
        </is>
      </c>
    </row>
    <row r="20" ht="15" customHeight="1">
      <c r="A20" s="39" t="inlineStr">
        <is>
          <t>RL-10C-3</t>
        </is>
      </c>
      <c r="B20" s="39" t="inlineStr">
        <is>
          <t>SLS ICPS</t>
        </is>
      </c>
      <c r="C20" s="40" t="inlineStr">
        <is>
          <t>LOX/LH2</t>
        </is>
      </c>
      <c r="D20" s="40" t="n">
        <v>460</v>
      </c>
      <c r="E20" s="40" t="inlineStr">
        <is>
          <t>—</t>
        </is>
      </c>
      <c r="F20" s="40" t="n">
        <v>110</v>
      </c>
      <c r="G20" s="40" t="inlineStr">
        <is>
          <t>—</t>
        </is>
      </c>
      <c r="H20" s="40" t="n">
        <v>190</v>
      </c>
      <c r="I20" s="40" t="n">
        <v>34</v>
      </c>
      <c r="J20" s="40" t="n">
        <v>150</v>
      </c>
      <c r="K20" s="39" t="inlineStr">
        <is>
          <t>High-expansion ratio variant</t>
        </is>
      </c>
    </row>
    <row r="21" ht="15" customHeight="1">
      <c r="A21" s="39" t="inlineStr">
        <is>
          <t>Vulcain 2</t>
        </is>
      </c>
      <c r="B21" s="39" t="inlineStr">
        <is>
          <t>Ariane 5 EPC</t>
        </is>
      </c>
      <c r="C21" s="40" t="inlineStr">
        <is>
          <t>LOX/LH2</t>
        </is>
      </c>
      <c r="D21" s="40" t="n">
        <v>431</v>
      </c>
      <c r="E21" s="40" t="n">
        <v>318</v>
      </c>
      <c r="F21" s="40" t="n">
        <v>1340</v>
      </c>
      <c r="G21" s="40" t="n">
        <v>960</v>
      </c>
      <c r="H21" s="40" t="n">
        <v>1686</v>
      </c>
      <c r="I21" s="40" t="n">
        <v>115</v>
      </c>
      <c r="J21" s="40" t="n">
        <v>60</v>
      </c>
      <c r="K21" s="39" t="inlineStr">
        <is>
          <t>Gas-generator cycle; Ariane 5 core</t>
        </is>
      </c>
    </row>
    <row r="22" ht="15" customHeight="1">
      <c r="A22" s="39" t="inlineStr">
        <is>
          <t>Vinci</t>
        </is>
      </c>
      <c r="B22" s="39" t="inlineStr">
        <is>
          <t>Ariane 6 ULPM</t>
        </is>
      </c>
      <c r="C22" s="40" t="inlineStr">
        <is>
          <t>LOX/LH2</t>
        </is>
      </c>
      <c r="D22" s="40" t="n">
        <v>465</v>
      </c>
      <c r="E22" s="40" t="inlineStr">
        <is>
          <t>—</t>
        </is>
      </c>
      <c r="F22" s="40" t="n">
        <v>180</v>
      </c>
      <c r="G22" s="40" t="inlineStr">
        <is>
          <t>—</t>
        </is>
      </c>
      <c r="H22" s="40" t="n">
        <v>550</v>
      </c>
      <c r="I22" s="40" t="n">
        <v>61</v>
      </c>
      <c r="J22" s="40" t="n">
        <v>240</v>
      </c>
      <c r="K22" s="39" t="inlineStr">
        <is>
          <t>Expander cycle; restartable upper stage</t>
        </is>
      </c>
    </row>
    <row r="23" ht="15" customHeight="1">
      <c r="A23" s="39" t="inlineStr">
        <is>
          <t>HM7B</t>
        </is>
      </c>
      <c r="B23" s="39" t="inlineStr">
        <is>
          <t>Ariane 5 ESC-A</t>
        </is>
      </c>
      <c r="C23" s="40" t="inlineStr">
        <is>
          <t>LOX/LH2</t>
        </is>
      </c>
      <c r="D23" s="40" t="n">
        <v>446</v>
      </c>
      <c r="E23" s="40" t="inlineStr">
        <is>
          <t>—</t>
        </is>
      </c>
      <c r="F23" s="40" t="n">
        <v>65</v>
      </c>
      <c r="G23" s="40" t="inlineStr">
        <is>
          <t>—</t>
        </is>
      </c>
      <c r="H23" s="40" t="n">
        <v>165</v>
      </c>
      <c r="I23" s="40" t="n">
        <v>35</v>
      </c>
      <c r="J23" s="40" t="n">
        <v>83</v>
      </c>
      <c r="K23" s="39" t="inlineStr">
        <is>
          <t>Gas-generator; multiple restarts</t>
        </is>
      </c>
    </row>
    <row r="24" ht="15" customHeight="1">
      <c r="A24" s="39" t="inlineStr">
        <is>
          <t>J-2</t>
        </is>
      </c>
      <c r="B24" s="39" t="inlineStr">
        <is>
          <t>Saturn V S-II / S-IVB</t>
        </is>
      </c>
      <c r="C24" s="40" t="inlineStr">
        <is>
          <t>LOX/LH2</t>
        </is>
      </c>
      <c r="D24" s="40" t="n">
        <v>421</v>
      </c>
      <c r="E24" s="40" t="inlineStr">
        <is>
          <t>—</t>
        </is>
      </c>
      <c r="F24" s="40" t="n">
        <v>1033</v>
      </c>
      <c r="G24" s="40" t="inlineStr">
        <is>
          <t>—</t>
        </is>
      </c>
      <c r="H24" s="40" t="n">
        <v>1788</v>
      </c>
      <c r="I24" s="40" t="n">
        <v>52</v>
      </c>
      <c r="J24" s="40" t="n">
        <v>27.5</v>
      </c>
      <c r="K24" s="39" t="inlineStr">
        <is>
          <t>5x on S-II; 1x on S-IVB; restartable</t>
        </is>
      </c>
    </row>
    <row r="25" ht="15" customHeight="1">
      <c r="A25" s="39" t="inlineStr">
        <is>
          <t>RS-68A</t>
        </is>
      </c>
      <c r="B25" s="39" t="inlineStr">
        <is>
          <t>Delta IV Heavy CBC</t>
        </is>
      </c>
      <c r="C25" s="40" t="inlineStr">
        <is>
          <t>LOX/LH2</t>
        </is>
      </c>
      <c r="D25" s="40" t="n">
        <v>412</v>
      </c>
      <c r="E25" s="40" t="n">
        <v>365</v>
      </c>
      <c r="F25" s="40" t="n">
        <v>3370</v>
      </c>
      <c r="G25" s="40" t="n">
        <v>2949</v>
      </c>
      <c r="H25" s="40" t="n">
        <v>6597</v>
      </c>
      <c r="I25" s="40" t="n">
        <v>97</v>
      </c>
      <c r="J25" s="40" t="n">
        <v>21.5</v>
      </c>
      <c r="K25" s="39" t="inlineStr">
        <is>
          <t>Gas-generator; simple design; largest H2 engine</t>
        </is>
      </c>
    </row>
    <row r="26" ht="15" customHeight="1">
      <c r="A26" s="39" t="inlineStr">
        <is>
          <t>BE-3U</t>
        </is>
      </c>
      <c r="B26" s="39" t="inlineStr">
        <is>
          <t>New Glenn S2</t>
        </is>
      </c>
      <c r="C26" s="40" t="inlineStr">
        <is>
          <t>LOX/LH2</t>
        </is>
      </c>
      <c r="D26" s="40" t="n">
        <v>440</v>
      </c>
      <c r="E26" s="40" t="inlineStr">
        <is>
          <t>—</t>
        </is>
      </c>
      <c r="F26" s="40" t="n">
        <v>710</v>
      </c>
      <c r="G26" s="40" t="inlineStr">
        <is>
          <t>—</t>
        </is>
      </c>
      <c r="H26" s="40" t="n">
        <v>2700</v>
      </c>
      <c r="I26" s="40" t="n">
        <v>90</v>
      </c>
      <c r="J26" s="40" t="n">
        <v>200</v>
      </c>
      <c r="K26" s="39" t="inlineStr">
        <is>
          <t>Blue Origin upper stage engine; expander cycle; 2x on NG 7x2</t>
        </is>
      </c>
    </row>
    <row r="27" ht="15" customHeight="1">
      <c r="A27" s="39" t="inlineStr">
        <is>
          <t>BE-3U Block 2</t>
        </is>
      </c>
      <c r="B27" s="39" t="inlineStr">
        <is>
          <t>New Glenn Block 2 S2</t>
        </is>
      </c>
      <c r="C27" s="40" t="inlineStr">
        <is>
          <t>LOX/LH2</t>
        </is>
      </c>
      <c r="D27" s="40" t="n">
        <v>440</v>
      </c>
      <c r="E27" s="40" t="inlineStr">
        <is>
          <t>—</t>
        </is>
      </c>
      <c r="F27" s="40" t="n">
        <v>890</v>
      </c>
      <c r="G27" s="40" t="inlineStr">
        <is>
          <t>—</t>
        </is>
      </c>
      <c r="H27" s="40" t="n">
        <v>2700</v>
      </c>
      <c r="I27" s="40" t="n">
        <v>90</v>
      </c>
      <c r="J27" s="40" t="n">
        <v>200</v>
      </c>
      <c r="K27" s="39" t="inlineStr">
        <is>
          <t>Upgraded BE-3U; 890 kN vac (200,000 lbf) vs 710 kN original; 4x on NG 9x4; Isp unchanged</t>
        </is>
      </c>
    </row>
    <row r="28" ht="18" customHeight="1">
      <c r="A28" s="7" t="inlineStr">
        <is>
          <t>── LOX/CH4 ──</t>
        </is>
      </c>
    </row>
    <row r="29" ht="15" customHeight="1">
      <c r="A29" s="39" t="inlineStr">
        <is>
          <t>Raptor 2</t>
        </is>
      </c>
      <c r="B29" s="39" t="inlineStr">
        <is>
          <t>Starship / Super Heavy</t>
        </is>
      </c>
      <c r="C29" s="40" t="inlineStr">
        <is>
          <t>LOX/CH4</t>
        </is>
      </c>
      <c r="D29" s="40" t="n">
        <v>350</v>
      </c>
      <c r="E29" s="40" t="n">
        <v>327</v>
      </c>
      <c r="F29" s="40" t="n">
        <v>2350</v>
      </c>
      <c r="G29" s="40" t="n">
        <v>2200</v>
      </c>
      <c r="H29" s="40" t="n">
        <v>1500</v>
      </c>
      <c r="I29" s="40" t="n">
        <v>330</v>
      </c>
      <c r="J29" s="40" t="n">
        <v>32</v>
      </c>
      <c r="K29" s="39" t="inlineStr">
        <is>
          <t>Full-flow staged combustion; 33x on Super Heavy</t>
        </is>
      </c>
    </row>
    <row r="30" ht="15" customHeight="1">
      <c r="A30" s="39" t="inlineStr">
        <is>
          <t>Raptor Vac</t>
        </is>
      </c>
      <c r="B30" s="39" t="inlineStr">
        <is>
          <t>Starship upper</t>
        </is>
      </c>
      <c r="C30" s="40" t="inlineStr">
        <is>
          <t>LOX/CH4</t>
        </is>
      </c>
      <c r="D30" s="40" t="n">
        <v>380</v>
      </c>
      <c r="E30" s="40" t="inlineStr">
        <is>
          <t>—</t>
        </is>
      </c>
      <c r="F30" s="40" t="n">
        <v>2200</v>
      </c>
      <c r="G30" s="40" t="inlineStr">
        <is>
          <t>—</t>
        </is>
      </c>
      <c r="H30" s="40" t="n">
        <v>1600</v>
      </c>
      <c r="I30" s="40" t="n">
        <v>330</v>
      </c>
      <c r="J30" s="40" t="n">
        <v>107</v>
      </c>
      <c r="K30" s="39" t="inlineStr">
        <is>
          <t>Vacuum variant; large fixed nozzle; 3x on Starship</t>
        </is>
      </c>
    </row>
    <row r="31" ht="15" customHeight="1">
      <c r="A31" s="39" t="inlineStr">
        <is>
          <t>BE-4</t>
        </is>
      </c>
      <c r="B31" s="39" t="inlineStr">
        <is>
          <t>Vulcan / New Glenn S1</t>
        </is>
      </c>
      <c r="C31" s="40" t="inlineStr">
        <is>
          <t>LOX/CH4</t>
        </is>
      </c>
      <c r="D31" s="40" t="n">
        <v>339</v>
      </c>
      <c r="E31" s="40" t="n">
        <v>310</v>
      </c>
      <c r="F31" s="40" t="n">
        <v>2400</v>
      </c>
      <c r="G31" s="40" t="n">
        <v>2100</v>
      </c>
      <c r="H31" s="40" t="n">
        <v>4760</v>
      </c>
      <c r="I31" s="40" t="n">
        <v>134</v>
      </c>
      <c r="J31" s="40" t="n">
        <v>40</v>
      </c>
      <c r="K31" s="39" t="inlineStr">
        <is>
          <t>Oxygen-rich staged combustion; 2x Vulcan / 7x NG 7x2 baseline</t>
        </is>
      </c>
    </row>
    <row r="32" ht="15" customHeight="1">
      <c r="A32" s="39" t="inlineStr">
        <is>
          <t>BE-4 Block 2</t>
        </is>
      </c>
      <c r="B32" s="39" t="inlineStr">
        <is>
          <t>New Glenn Block 2 S1</t>
        </is>
      </c>
      <c r="C32" s="40" t="inlineStr">
        <is>
          <t>LOX/CH4</t>
        </is>
      </c>
      <c r="D32" s="40" t="n">
        <v>339</v>
      </c>
      <c r="E32" s="40" t="n">
        <v>310</v>
      </c>
      <c r="F32" s="40" t="n">
        <v>2847</v>
      </c>
      <c r="G32" s="40" t="n">
        <v>2490</v>
      </c>
      <c r="H32" s="40" t="n">
        <v>4760</v>
      </c>
      <c r="I32" s="40" t="n">
        <v>134</v>
      </c>
      <c r="J32" s="40" t="n">
        <v>40</v>
      </c>
      <c r="K32" s="39" t="inlineStr">
        <is>
          <t>Upgraded BE-4; 2,847 kN SL (640,000 lbf) with propellant subcooling; vac est. proportional; same Isp</t>
        </is>
      </c>
    </row>
    <row r="33" ht="18" customHeight="1">
      <c r="A33" s="7" t="inlineStr">
        <is>
          <t>── NTO/MMH ──</t>
        </is>
      </c>
    </row>
    <row r="34" ht="15" customHeight="1">
      <c r="A34" s="39" t="inlineStr">
        <is>
          <t>AJ-10-190</t>
        </is>
      </c>
      <c r="B34" s="39" t="inlineStr">
        <is>
          <t>Orion SPS / STS OMS</t>
        </is>
      </c>
      <c r="C34" s="40" t="inlineStr">
        <is>
          <t>NTO/MMH</t>
        </is>
      </c>
      <c r="D34" s="40" t="n">
        <v>316</v>
      </c>
      <c r="E34" s="40" t="inlineStr">
        <is>
          <t>—</t>
        </is>
      </c>
      <c r="F34" s="40" t="n">
        <v>27</v>
      </c>
      <c r="G34" s="40" t="inlineStr">
        <is>
          <t>—</t>
        </is>
      </c>
      <c r="H34" s="40" t="n">
        <v>118</v>
      </c>
      <c r="I34" s="40" t="n">
        <v>9</v>
      </c>
      <c r="J34" s="40" t="n">
        <v>49</v>
      </c>
      <c r="K34" s="39" t="inlineStr">
        <is>
          <t>Pressure-fed; restartable; long heritage</t>
        </is>
      </c>
    </row>
    <row r="35" ht="15" customHeight="1">
      <c r="A35" s="39" t="inlineStr">
        <is>
          <t>Aestus</t>
        </is>
      </c>
      <c r="B35" s="39" t="inlineStr">
        <is>
          <t>Ariane 5 ATV</t>
        </is>
      </c>
      <c r="C35" s="40" t="inlineStr">
        <is>
          <t>NTO/MMH</t>
        </is>
      </c>
      <c r="D35" s="40" t="n">
        <v>324</v>
      </c>
      <c r="E35" s="40" t="inlineStr">
        <is>
          <t>—</t>
        </is>
      </c>
      <c r="F35" s="40" t="n">
        <v>29</v>
      </c>
      <c r="G35" s="40" t="inlineStr">
        <is>
          <t>—</t>
        </is>
      </c>
      <c r="H35" s="40" t="n">
        <v>111</v>
      </c>
      <c r="I35" s="40" t="n">
        <v>11</v>
      </c>
      <c r="J35" s="40" t="n">
        <v>84</v>
      </c>
      <c r="K35" s="39" t="inlineStr">
        <is>
          <t>Pressure-fed; restartable; ESA upper stage</t>
        </is>
      </c>
    </row>
    <row r="36" ht="18" customHeight="1">
      <c r="A36" s="7" t="inlineStr">
        <is>
          <t>── NTO/UDMH ──</t>
        </is>
      </c>
    </row>
    <row r="37" ht="15" customHeight="1">
      <c r="A37" s="39" t="inlineStr">
        <is>
          <t>Vikas</t>
        </is>
      </c>
      <c r="B37" s="39" t="inlineStr">
        <is>
          <t>PSLV / GSLV S2</t>
        </is>
      </c>
      <c r="C37" s="40" t="inlineStr">
        <is>
          <t>NTO/UDMH</t>
        </is>
      </c>
      <c r="D37" s="40" t="n">
        <v>293</v>
      </c>
      <c r="E37" s="40" t="n">
        <v>270</v>
      </c>
      <c r="F37" s="40" t="n">
        <v>800</v>
      </c>
      <c r="G37" s="40" t="n">
        <v>725</v>
      </c>
      <c r="H37" s="40" t="n">
        <v>634</v>
      </c>
      <c r="I37" s="40" t="n">
        <v>58</v>
      </c>
      <c r="J37" s="40" t="n">
        <v>16</v>
      </c>
      <c r="K37" s="39" t="inlineStr">
        <is>
          <t>Indian engine; Ariane Viking derivative</t>
        </is>
      </c>
    </row>
    <row r="38" ht="15" customHeight="1">
      <c r="A38" s="39" t="inlineStr">
        <is>
          <t>YF-20 (cluster)</t>
        </is>
      </c>
      <c r="B38" s="39" t="inlineStr">
        <is>
          <t>Long March S1</t>
        </is>
      </c>
      <c r="C38" s="40" t="inlineStr">
        <is>
          <t>NTO/UDMH</t>
        </is>
      </c>
      <c r="D38" s="40" t="n">
        <v>289</v>
      </c>
      <c r="E38" s="40" t="n">
        <v>259</v>
      </c>
      <c r="F38" s="40" t="n">
        <v>2962</v>
      </c>
      <c r="G38" s="40" t="n">
        <v>2799</v>
      </c>
      <c r="H38" s="40" t="n">
        <v>4000</v>
      </c>
      <c r="I38" s="40" t="n">
        <v>65</v>
      </c>
      <c r="J38" s="40" t="n">
        <v>14</v>
      </c>
      <c r="K38" s="39" t="inlineStr">
        <is>
          <t>4-chamber cluster used on CZ-2/3/4 first stages</t>
        </is>
      </c>
    </row>
    <row r="39" ht="18" customHeight="1">
      <c r="A39" s="7" t="inlineStr">
        <is>
          <t>── Solid HTPB ──</t>
        </is>
      </c>
    </row>
    <row r="40" ht="15" customHeight="1">
      <c r="A40" s="39" t="inlineStr">
        <is>
          <t>SRB (SLS 5-seg)</t>
        </is>
      </c>
      <c r="B40" s="39" t="inlineStr">
        <is>
          <t>SLS Block 1</t>
        </is>
      </c>
      <c r="C40" s="40" t="inlineStr">
        <is>
          <t>Solid HTPB</t>
        </is>
      </c>
      <c r="D40" s="40" t="n">
        <v>269</v>
      </c>
      <c r="E40" s="40" t="n">
        <v>242</v>
      </c>
      <c r="F40" s="40" t="n">
        <v>16000</v>
      </c>
      <c r="G40" s="40" t="n">
        <v>14900</v>
      </c>
      <c r="H40" s="40" t="n">
        <v>90718</v>
      </c>
      <c r="I40" s="40" t="n">
        <v>62</v>
      </c>
      <c r="J40" s="40" t="n">
        <v>7.5</v>
      </c>
      <c r="K40" s="39" t="inlineStr">
        <is>
          <t>Largest SRB ever flown; 2x on SLS</t>
        </is>
      </c>
    </row>
    <row r="41" ht="15" customHeight="1">
      <c r="A41" s="39" t="inlineStr">
        <is>
          <t>RSRM (Shuttle)</t>
        </is>
      </c>
      <c r="B41" s="39" t="inlineStr">
        <is>
          <t>Space Shuttle</t>
        </is>
      </c>
      <c r="C41" s="40" t="inlineStr">
        <is>
          <t>Solid HTPB</t>
        </is>
      </c>
      <c r="D41" s="40" t="n">
        <v>268</v>
      </c>
      <c r="E41" s="40" t="n">
        <v>242</v>
      </c>
      <c r="F41" s="40" t="n">
        <v>14678</v>
      </c>
      <c r="G41" s="40" t="n">
        <v>12453</v>
      </c>
      <c r="H41" s="40" t="n">
        <v>90714</v>
      </c>
      <c r="I41" s="40" t="n">
        <v>62</v>
      </c>
      <c r="J41" s="40" t="n">
        <v>7.7</v>
      </c>
      <c r="K41" s="39" t="inlineStr">
        <is>
          <t>4-segment Shuttle SRB</t>
        </is>
      </c>
    </row>
    <row r="42" ht="15" customHeight="1">
      <c r="A42" s="39" t="inlineStr">
        <is>
          <t>GEM-63XL</t>
        </is>
      </c>
      <c r="B42" s="39" t="inlineStr">
        <is>
          <t>Vulcan strap-on</t>
        </is>
      </c>
      <c r="C42" s="40" t="inlineStr">
        <is>
          <t>Solid HTPB</t>
        </is>
      </c>
      <c r="D42" s="40" t="n">
        <v>279</v>
      </c>
      <c r="E42" s="40" t="n">
        <v>252</v>
      </c>
      <c r="F42" s="40" t="n">
        <v>2140</v>
      </c>
      <c r="G42" s="40" t="n">
        <v>1930</v>
      </c>
      <c r="H42" s="40" t="n">
        <v>7000</v>
      </c>
      <c r="I42" s="40" t="n">
        <v>60</v>
      </c>
      <c r="J42" s="40" t="n">
        <v>11</v>
      </c>
      <c r="K42" s="39" t="inlineStr">
        <is>
          <t>Solid strap-on; also used on Atlas V 500</t>
        </is>
      </c>
    </row>
    <row r="43" ht="15" customHeight="1">
      <c r="A43" s="39" t="inlineStr">
        <is>
          <t>P80</t>
        </is>
      </c>
      <c r="B43" s="39" t="inlineStr">
        <is>
          <t>Ariane 6 S1</t>
        </is>
      </c>
      <c r="C43" s="40" t="inlineStr">
        <is>
          <t>Solid HTPB</t>
        </is>
      </c>
      <c r="D43" s="40" t="n">
        <v>278</v>
      </c>
      <c r="E43" s="40" t="n">
        <v>255</v>
      </c>
      <c r="F43" s="40" t="n">
        <v>3040</v>
      </c>
      <c r="G43" s="40" t="n">
        <v>2820</v>
      </c>
      <c r="H43" s="40" t="n">
        <v>5650</v>
      </c>
      <c r="I43" s="40" t="n">
        <v>95</v>
      </c>
      <c r="J43" s="40" t="n">
        <v>16</v>
      </c>
      <c r="K43" s="39" t="inlineStr">
        <is>
          <t>Ariane 6 first stage solid motor</t>
        </is>
      </c>
    </row>
    <row r="44" ht="15" customHeight="1">
      <c r="A44" s="39" t="inlineStr">
        <is>
          <t>Zefiro-23</t>
        </is>
      </c>
      <c r="B44" s="39" t="inlineStr">
        <is>
          <t>Vega S2</t>
        </is>
      </c>
      <c r="C44" s="40" t="inlineStr">
        <is>
          <t>Solid HTPB</t>
        </is>
      </c>
      <c r="D44" s="40" t="n">
        <v>287</v>
      </c>
      <c r="E44" s="40" t="inlineStr">
        <is>
          <t>—</t>
        </is>
      </c>
      <c r="F44" s="40" t="n">
        <v>1120</v>
      </c>
      <c r="G44" s="40" t="inlineStr">
        <is>
          <t>—</t>
        </is>
      </c>
      <c r="H44" s="40" t="n">
        <v>1315</v>
      </c>
      <c r="I44" s="40" t="n">
        <v>87</v>
      </c>
      <c r="J44" s="40" t="n">
        <v>30</v>
      </c>
      <c r="K44" s="39" t="inlineStr">
        <is>
          <t>Vega second stage solid motor</t>
        </is>
      </c>
    </row>
    <row r="45" ht="15" customHeight="1">
      <c r="A45" s="39" t="inlineStr">
        <is>
          <t>Zefiro-9</t>
        </is>
      </c>
      <c r="B45" s="39" t="inlineStr">
        <is>
          <t>Vega S3</t>
        </is>
      </c>
      <c r="C45" s="40" t="inlineStr">
        <is>
          <t>Solid HTPB</t>
        </is>
      </c>
      <c r="D45" s="40" t="n">
        <v>296</v>
      </c>
      <c r="E45" s="40" t="inlineStr">
        <is>
          <t>—</t>
        </is>
      </c>
      <c r="F45" s="40" t="n">
        <v>314</v>
      </c>
      <c r="G45" s="40" t="inlineStr">
        <is>
          <t>—</t>
        </is>
      </c>
      <c r="H45" s="40" t="n">
        <v>260</v>
      </c>
      <c r="I45" s="40" t="n">
        <v>98</v>
      </c>
      <c r="J45" s="40" t="n">
        <v>54</v>
      </c>
      <c r="K45" s="39" t="inlineStr">
        <is>
          <t>Vega third stage solid motor</t>
        </is>
      </c>
    </row>
    <row r="46" ht="15" customHeight="1">
      <c r="A46" s="39" t="inlineStr">
        <is>
          <t>Star-48BV</t>
        </is>
      </c>
      <c r="B46" s="39" t="inlineStr">
        <is>
          <t>Various kick stages</t>
        </is>
      </c>
      <c r="C46" s="40" t="inlineStr">
        <is>
          <t>Solid HTPB</t>
        </is>
      </c>
      <c r="D46" s="40" t="n">
        <v>292</v>
      </c>
      <c r="E46" s="40" t="inlineStr">
        <is>
          <t>—</t>
        </is>
      </c>
      <c r="F46" s="40" t="n">
        <v>68</v>
      </c>
      <c r="G46" s="40" t="inlineStr">
        <is>
          <t>—</t>
        </is>
      </c>
      <c r="H46" s="40" t="n">
        <v>119</v>
      </c>
      <c r="I46" s="40" t="n">
        <v>40</v>
      </c>
      <c r="J46" s="40" t="n">
        <v>55</v>
      </c>
      <c r="K46" s="39" t="inlineStr">
        <is>
          <t>Small solid kick motor; spin-stabilized</t>
        </is>
      </c>
    </row>
    <row r="47" ht="15" customHeight="1">
      <c r="A47" s="39" t="inlineStr">
        <is>
          <t>Castor 30B</t>
        </is>
      </c>
      <c r="B47" s="39" t="inlineStr">
        <is>
          <t>Antares S2</t>
        </is>
      </c>
      <c r="C47" s="40" t="inlineStr">
        <is>
          <t>Solid HTPB</t>
        </is>
      </c>
      <c r="D47" s="40" t="n">
        <v>302</v>
      </c>
      <c r="E47" s="40" t="inlineStr">
        <is>
          <t>—</t>
        </is>
      </c>
      <c r="F47" s="40" t="n">
        <v>357</v>
      </c>
      <c r="G47" s="40" t="inlineStr">
        <is>
          <t>—</t>
        </is>
      </c>
      <c r="H47" s="40" t="n">
        <v>1437</v>
      </c>
      <c r="I47" s="40" t="n">
        <v>80</v>
      </c>
      <c r="J47" s="40" t="n">
        <v>57</v>
      </c>
      <c r="K47" s="39" t="inlineStr">
        <is>
          <t>Antares second stage solid motor</t>
        </is>
      </c>
    </row>
  </sheetData>
  <autoFilter ref="A2:K2"/>
  <mergeCells count="7">
    <mergeCell ref="A3:K3"/>
    <mergeCell ref="A39:K39"/>
    <mergeCell ref="A15:K15"/>
    <mergeCell ref="A33:K33"/>
    <mergeCell ref="A28:K28"/>
    <mergeCell ref="A36:K3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527A0"/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1" customWidth="1" min="10" max="10"/>
    <col width="12" customWidth="1" min="11" max="11"/>
    <col width="45" customWidth="1" min="12" max="12"/>
  </cols>
  <sheetData>
    <row r="1" ht="22" customHeight="1">
      <c r="A1" s="1" t="inlineStr">
        <is>
          <t>REFERENCE LAUNCH VEHICLE DATABASE — Real Vehicle Mass &amp; Performance Data</t>
        </is>
      </c>
    </row>
    <row r="2" ht="30" customHeight="1">
      <c r="A2" s="38" t="inlineStr">
        <is>
          <t>Vehicle</t>
        </is>
      </c>
      <c r="B2" s="38" t="inlineStr">
        <is>
          <t>Country</t>
        </is>
      </c>
      <c r="C2" s="38" t="inlineStr">
        <is>
          <t>Operator</t>
        </is>
      </c>
      <c r="D2" s="38" t="inlineStr">
        <is>
          <t>First Flight</t>
        </is>
      </c>
      <c r="E2" s="38" t="inlineStr">
        <is>
          <t>Status</t>
        </is>
      </c>
      <c r="F2" s="38" t="inlineStr">
        <is>
          <t>Payload LEO (kg)</t>
        </is>
      </c>
      <c r="G2" s="38" t="inlineStr">
        <is>
          <t>Payload GTO (kg)</t>
        </is>
      </c>
      <c r="H2" s="38" t="inlineStr">
        <is>
          <t>Payload TLI (kg)</t>
        </is>
      </c>
      <c r="I2" s="38" t="inlineStr">
        <is>
          <t>GLOW (kg)</t>
        </is>
      </c>
      <c r="J2" s="38" t="inlineStr">
        <is>
          <t>Height (m)</t>
        </is>
      </c>
      <c r="K2" s="38" t="inlineStr">
        <is>
          <t>Diameter (m)</t>
        </is>
      </c>
      <c r="L2" s="38" t="inlineStr">
        <is>
          <t>Notes</t>
        </is>
      </c>
    </row>
    <row r="3" ht="15" customHeight="1">
      <c r="A3" s="41" t="inlineStr">
        <is>
          <t>Falcon 9 Block 5</t>
        </is>
      </c>
      <c r="B3" s="42" t="inlineStr">
        <is>
          <t>USA</t>
        </is>
      </c>
      <c r="C3" s="42" t="inlineStr">
        <is>
          <t>SpaceX</t>
        </is>
      </c>
      <c r="D3" s="43" t="n">
        <v>2018</v>
      </c>
      <c r="E3" s="42" t="inlineStr">
        <is>
          <t>Active</t>
        </is>
      </c>
      <c r="F3" s="43" t="n">
        <v>22800</v>
      </c>
      <c r="G3" s="43" t="n">
        <v>8300</v>
      </c>
      <c r="H3" s="43" t="inlineStr">
        <is>
          <t>—</t>
        </is>
      </c>
      <c r="I3" s="43" t="n">
        <v>549054</v>
      </c>
      <c r="J3" s="43" t="n">
        <v>70</v>
      </c>
      <c r="K3" s="43" t="n">
        <v>3.66</v>
      </c>
      <c r="L3" s="44" t="inlineStr">
        <is>
          <t>22,800 kg LEO expendable / 17,400 kg reusable; partially reusable first stage</t>
        </is>
      </c>
    </row>
    <row r="4" ht="15" customHeight="1">
      <c r="A4" s="45" t="inlineStr">
        <is>
          <t>Falcon Heavy</t>
        </is>
      </c>
      <c r="B4" s="46" t="inlineStr">
        <is>
          <t>USA</t>
        </is>
      </c>
      <c r="C4" s="46" t="inlineStr">
        <is>
          <t>SpaceX</t>
        </is>
      </c>
      <c r="D4" s="47" t="n">
        <v>2018</v>
      </c>
      <c r="E4" s="46" t="inlineStr">
        <is>
          <t>Active</t>
        </is>
      </c>
      <c r="F4" s="47" t="n">
        <v>63800</v>
      </c>
      <c r="G4" s="47" t="n">
        <v>26700</v>
      </c>
      <c r="H4" s="47" t="inlineStr">
        <is>
          <t>—</t>
        </is>
      </c>
      <c r="I4" s="47" t="n">
        <v>1420788</v>
      </c>
      <c r="J4" s="47" t="n">
        <v>70</v>
      </c>
      <c r="K4" s="47" t="n">
        <v>12.2</v>
      </c>
      <c r="L4" s="48" t="inlineStr">
        <is>
          <t>Expendable config; 3 F9 cores; center core reinforced</t>
        </is>
      </c>
    </row>
    <row r="5" ht="15" customHeight="1">
      <c r="A5" s="41" t="inlineStr">
        <is>
          <t>Atlas V 401</t>
        </is>
      </c>
      <c r="B5" s="42" t="inlineStr">
        <is>
          <t>USA</t>
        </is>
      </c>
      <c r="C5" s="42" t="inlineStr">
        <is>
          <t>ULA</t>
        </is>
      </c>
      <c r="D5" s="43" t="n">
        <v>2002</v>
      </c>
      <c r="E5" s="42" t="inlineStr">
        <is>
          <t>Active (limited)</t>
        </is>
      </c>
      <c r="F5" s="43" t="n">
        <v>9750</v>
      </c>
      <c r="G5" s="43" t="n">
        <v>4750</v>
      </c>
      <c r="H5" s="43" t="inlineStr">
        <is>
          <t>—</t>
        </is>
      </c>
      <c r="I5" s="43" t="n">
        <v>334500</v>
      </c>
      <c r="J5" s="43" t="n">
        <v>58.3</v>
      </c>
      <c r="K5" s="43" t="n">
        <v>3.81</v>
      </c>
      <c r="L5" s="44" t="inlineStr">
        <is>
          <t>401 = 4m fairing, 0 SRBs, 1 RL-10; 551 config adds 5 GEM SRBs and dual RL-10</t>
        </is>
      </c>
    </row>
    <row r="6" ht="15" customHeight="1">
      <c r="A6" s="45" t="inlineStr">
        <is>
          <t>Delta IV Heavy</t>
        </is>
      </c>
      <c r="B6" s="46" t="inlineStr">
        <is>
          <t>USA</t>
        </is>
      </c>
      <c r="C6" s="46" t="inlineStr">
        <is>
          <t>ULA</t>
        </is>
      </c>
      <c r="D6" s="47" t="n">
        <v>2004</v>
      </c>
      <c r="E6" s="46" t="inlineStr">
        <is>
          <t>Retired 2024</t>
        </is>
      </c>
      <c r="F6" s="47" t="n">
        <v>28370</v>
      </c>
      <c r="G6" s="47" t="n">
        <v>14220</v>
      </c>
      <c r="H6" s="47" t="inlineStr">
        <is>
          <t>—</t>
        </is>
      </c>
      <c r="I6" s="47" t="n">
        <v>733400</v>
      </c>
      <c r="J6" s="47" t="n">
        <v>72</v>
      </c>
      <c r="K6" s="47" t="n">
        <v>15</v>
      </c>
      <c r="L6" s="48" t="inlineStr">
        <is>
          <t>3 identical CBCs; heaviest US expendable before SLS</t>
        </is>
      </c>
    </row>
    <row r="7" ht="15" customHeight="1">
      <c r="A7" s="41" t="inlineStr">
        <is>
          <t>Ariane 5 ECA</t>
        </is>
      </c>
      <c r="B7" s="42" t="inlineStr">
        <is>
          <t>Europe</t>
        </is>
      </c>
      <c r="C7" s="42" t="inlineStr">
        <is>
          <t>Arianespace</t>
        </is>
      </c>
      <c r="D7" s="43" t="n">
        <v>2002</v>
      </c>
      <c r="E7" s="42" t="inlineStr">
        <is>
          <t>Retired 2023</t>
        </is>
      </c>
      <c r="F7" s="43" t="n">
        <v>21000</v>
      </c>
      <c r="G7" s="43" t="n">
        <v>10865</v>
      </c>
      <c r="H7" s="43" t="inlineStr">
        <is>
          <t>—</t>
        </is>
      </c>
      <c r="I7" s="43" t="n">
        <v>777000</v>
      </c>
      <c r="J7" s="43" t="n">
        <v>59</v>
      </c>
      <c r="K7" s="43" t="n">
        <v>5.4</v>
      </c>
      <c r="L7" s="44" t="inlineStr">
        <is>
          <t>2 EAP solid strap-ons + EPC LOX/LH2 core + ESC-A LOX/LH2 upper</t>
        </is>
      </c>
    </row>
    <row r="8" ht="15" customHeight="1">
      <c r="A8" s="45" t="inlineStr">
        <is>
          <t>Soyuz-2.1b</t>
        </is>
      </c>
      <c r="B8" s="46" t="inlineStr">
        <is>
          <t>Russia</t>
        </is>
      </c>
      <c r="C8" s="46" t="inlineStr">
        <is>
          <t>Roscosmos</t>
        </is>
      </c>
      <c r="D8" s="47" t="n">
        <v>2006</v>
      </c>
      <c r="E8" s="46" t="inlineStr">
        <is>
          <t>Active</t>
        </is>
      </c>
      <c r="F8" s="47" t="n">
        <v>8200</v>
      </c>
      <c r="G8" s="47" t="n">
        <v>2800</v>
      </c>
      <c r="H8" s="47" t="inlineStr">
        <is>
          <t>—</t>
        </is>
      </c>
      <c r="I8" s="47" t="n">
        <v>312000</v>
      </c>
      <c r="J8" s="47" t="n">
        <v>46.3</v>
      </c>
      <c r="K8" s="47" t="n">
        <v>10.3</v>
      </c>
      <c r="L8" s="48" t="inlineStr">
        <is>
          <t>Classic 3-stage parallel burn; boosters + core ignite at liftoff</t>
        </is>
      </c>
    </row>
    <row r="9" ht="15" customHeight="1">
      <c r="A9" s="41" t="inlineStr">
        <is>
          <t>Saturn V</t>
        </is>
      </c>
      <c r="B9" s="42" t="inlineStr">
        <is>
          <t>USA</t>
        </is>
      </c>
      <c r="C9" s="42" t="inlineStr">
        <is>
          <t>NASA</t>
        </is>
      </c>
      <c r="D9" s="43" t="n">
        <v>1967</v>
      </c>
      <c r="E9" s="42" t="inlineStr">
        <is>
          <t>Retired 1973</t>
        </is>
      </c>
      <c r="F9" s="43" t="n">
        <v>130000</v>
      </c>
      <c r="G9" s="43" t="inlineStr">
        <is>
          <t>—</t>
        </is>
      </c>
      <c r="H9" s="43" t="n">
        <v>48600</v>
      </c>
      <c r="I9" s="43" t="n">
        <v>2970000</v>
      </c>
      <c r="J9" s="43" t="n">
        <v>110.6</v>
      </c>
      <c r="K9" s="43" t="n">
        <v>10.1</v>
      </c>
      <c r="L9" s="44" t="inlineStr">
        <is>
          <t>Apollo program; still the most powerful rocket ever flown</t>
        </is>
      </c>
    </row>
    <row r="10" ht="15" customHeight="1">
      <c r="A10" s="45" t="inlineStr">
        <is>
          <t>SLS Block 1</t>
        </is>
      </c>
      <c r="B10" s="46" t="inlineStr">
        <is>
          <t>USA</t>
        </is>
      </c>
      <c r="C10" s="46" t="inlineStr">
        <is>
          <t>NASA</t>
        </is>
      </c>
      <c r="D10" s="47" t="n">
        <v>2022</v>
      </c>
      <c r="E10" s="46" t="inlineStr">
        <is>
          <t>Active</t>
        </is>
      </c>
      <c r="F10" s="47" t="n">
        <v>95000</v>
      </c>
      <c r="G10" s="47" t="inlineStr">
        <is>
          <t>—</t>
        </is>
      </c>
      <c r="H10" s="47" t="n">
        <v>27000</v>
      </c>
      <c r="I10" s="47" t="n">
        <v>2608000</v>
      </c>
      <c r="J10" s="47" t="n">
        <v>98</v>
      </c>
      <c r="K10" s="47" t="n">
        <v>8.4</v>
      </c>
      <c r="L10" s="48" t="inlineStr">
        <is>
          <t>Artemis program; RS-25 core + 2 SLS SRBs + ICPS upper stage</t>
        </is>
      </c>
    </row>
    <row r="11" ht="15" customHeight="1">
      <c r="A11" s="41" t="inlineStr">
        <is>
          <t>New Glenn (7x2 Baseline)</t>
        </is>
      </c>
      <c r="B11" s="42" t="inlineStr">
        <is>
          <t>USA</t>
        </is>
      </c>
      <c r="C11" s="42" t="inlineStr">
        <is>
          <t>Blue Origin</t>
        </is>
      </c>
      <c r="D11" s="43" t="n">
        <v>2025</v>
      </c>
      <c r="E11" s="42" t="inlineStr">
        <is>
          <t>Active</t>
        </is>
      </c>
      <c r="F11" s="43" t="n">
        <v>45000</v>
      </c>
      <c r="G11" s="43" t="n">
        <v>13000</v>
      </c>
      <c r="H11" s="43" t="inlineStr">
        <is>
          <t>—</t>
        </is>
      </c>
      <c r="I11" s="43" t="n">
        <v>1000000</v>
      </c>
      <c r="J11" s="43" t="n">
        <v>98</v>
      </c>
      <c r="K11" s="43" t="n">
        <v>7</v>
      </c>
      <c r="L11" s="44" t="inlineStr">
        <is>
          <t>First flight Jan 2025; 7 BE-4 + 2 BE-3U; 7m fairing; Blue Origin claimed 45t LEO / 13t GTO</t>
        </is>
      </c>
    </row>
    <row r="12" ht="15" customHeight="1">
      <c r="A12" s="45" t="inlineStr">
        <is>
          <t>New Glenn Block 2 (7x2 Upgraded)</t>
        </is>
      </c>
      <c r="B12" s="46" t="inlineStr">
        <is>
          <t>USA</t>
        </is>
      </c>
      <c r="C12" s="46" t="inlineStr">
        <is>
          <t>Blue Origin</t>
        </is>
      </c>
      <c r="D12" s="47" t="n">
        <v>2026</v>
      </c>
      <c r="E12" s="46" t="inlineStr">
        <is>
          <t>Development</t>
        </is>
      </c>
      <c r="F12" s="47" t="inlineStr">
        <is>
          <t>—</t>
        </is>
      </c>
      <c r="G12" s="47" t="inlineStr">
        <is>
          <t>—</t>
        </is>
      </c>
      <c r="H12" s="47" t="inlineStr">
        <is>
          <t>—</t>
        </is>
      </c>
      <c r="I12" s="47" t="n">
        <v>1000000</v>
      </c>
      <c r="J12" s="47" t="n">
        <v>98</v>
      </c>
      <c r="K12" s="47" t="n">
        <v>7</v>
      </c>
      <c r="L12" s="48" t="inlineStr">
        <is>
          <t>Upgraded BE-4 Block 2 (2,847 kN SL w/ subcooling) + BE-3U Block 2 (890 kN); no updated payload figures released by Blue Origin</t>
        </is>
      </c>
    </row>
    <row r="13" ht="15" customHeight="1">
      <c r="A13" s="41" t="inlineStr">
        <is>
          <t>New Glenn 9x4</t>
        </is>
      </c>
      <c r="B13" s="42" t="inlineStr">
        <is>
          <t>USA</t>
        </is>
      </c>
      <c r="C13" s="42" t="inlineStr">
        <is>
          <t>Blue Origin</t>
        </is>
      </c>
      <c r="D13" s="43" t="n">
        <v>2027</v>
      </c>
      <c r="E13" s="42" t="inlineStr">
        <is>
          <t>Development</t>
        </is>
      </c>
      <c r="F13" s="43" t="n">
        <v>70000</v>
      </c>
      <c r="G13" s="43" t="n">
        <v>14000</v>
      </c>
      <c r="H13" s="43" t="n">
        <v>20000</v>
      </c>
      <c r="I13" s="43" t="n">
        <v>1300000</v>
      </c>
      <c r="J13" s="43" t="n">
        <v>105</v>
      </c>
      <c r="K13" s="43" t="n">
        <v>8.699999999999999</v>
      </c>
      <c r="L13" s="44" t="inlineStr">
        <is>
          <t>Heavy-lift variant; 9 BE-4 Block 2 S1 + 4 BE-3U Block 2 S2; 8.7m fairing; &gt;70t LEO / &gt;14t GTO announced; prop masses estimated</t>
        </is>
      </c>
    </row>
    <row r="14" ht="15" customHeight="1">
      <c r="A14" s="45" t="inlineStr">
        <is>
          <t>Starship (IFT-6 config)</t>
        </is>
      </c>
      <c r="B14" s="46" t="inlineStr">
        <is>
          <t>USA</t>
        </is>
      </c>
      <c r="C14" s="46" t="inlineStr">
        <is>
          <t>SpaceX</t>
        </is>
      </c>
      <c r="D14" s="47" t="n">
        <v>2023</v>
      </c>
      <c r="E14" s="46" t="inlineStr">
        <is>
          <t>Development</t>
        </is>
      </c>
      <c r="F14" s="47" t="n">
        <v>150000</v>
      </c>
      <c r="G14" s="47" t="inlineStr">
        <is>
          <t>—</t>
        </is>
      </c>
      <c r="H14" s="47" t="inlineStr">
        <is>
          <t>—</t>
        </is>
      </c>
      <c r="I14" s="47" t="n">
        <v>5000000</v>
      </c>
      <c r="J14" s="47" t="n">
        <v>121</v>
      </c>
      <c r="K14" s="47" t="n">
        <v>9</v>
      </c>
      <c r="L14" s="48" t="inlineStr">
        <is>
          <t>Fully reusable target; 150t LEO is aspirational with full reuse; ~200t expendable claimed</t>
        </is>
      </c>
    </row>
    <row r="15" ht="15" customHeight="1">
      <c r="A15" s="41" t="inlineStr">
        <is>
          <t>Vulcan Centaur</t>
        </is>
      </c>
      <c r="B15" s="42" t="inlineStr">
        <is>
          <t>USA</t>
        </is>
      </c>
      <c r="C15" s="42" t="inlineStr">
        <is>
          <t>ULA</t>
        </is>
      </c>
      <c r="D15" s="43" t="n">
        <v>2024</v>
      </c>
      <c r="E15" s="42" t="inlineStr">
        <is>
          <t>Active</t>
        </is>
      </c>
      <c r="F15" s="43" t="n">
        <v>27200</v>
      </c>
      <c r="G15" s="43" t="n">
        <v>9250</v>
      </c>
      <c r="H15" s="43" t="inlineStr">
        <is>
          <t>—</t>
        </is>
      </c>
      <c r="I15" s="43" t="n">
        <v>547000</v>
      </c>
      <c r="J15" s="43" t="n">
        <v>61.6</v>
      </c>
      <c r="K15" s="43" t="n">
        <v>5.4</v>
      </c>
      <c r="L15" s="44" t="inlineStr">
        <is>
          <t>Replaces Atlas V and Delta IV; 2 or 4 GEM-63XL strap-ons optional</t>
        </is>
      </c>
    </row>
    <row r="17">
      <c r="A17" s="1" t="inlineStr">
        <is>
          <t>PER-STAGE MASS BREAKDOWN</t>
        </is>
      </c>
    </row>
    <row r="18" ht="25" customHeight="1">
      <c r="A18" s="38" t="inlineStr">
        <is>
          <t>Vehicle</t>
        </is>
      </c>
      <c r="B18" s="38" t="inlineStr">
        <is>
          <t>Stage</t>
        </is>
      </c>
      <c r="C18" s="38" t="inlineStr">
        <is>
          <t>Engine</t>
        </is>
      </c>
      <c r="D18" s="38" t="inlineStr">
        <is>
          <t># Engines</t>
        </is>
      </c>
      <c r="E18" s="38" t="inlineStr">
        <is>
          <t>Propellant Mass (kg)</t>
        </is>
      </c>
      <c r="F18" s="38" t="inlineStr">
        <is>
          <t>Dry Mass (kg)</t>
        </is>
      </c>
      <c r="G18" s="38" t="inlineStr">
        <is>
          <t>Gross Mass (kg)</t>
        </is>
      </c>
      <c r="H18" s="38" t="inlineStr">
        <is>
          <t>Struct. Frac. (%)</t>
        </is>
      </c>
      <c r="I18" s="38" t="inlineStr">
        <is>
          <t>Notes</t>
        </is>
      </c>
    </row>
    <row r="19" ht="15" customHeight="1">
      <c r="A19" s="41" t="inlineStr">
        <is>
          <t>Falcon 9 Block 5</t>
        </is>
      </c>
      <c r="B19" s="42" t="inlineStr">
        <is>
          <t>S1 Core</t>
        </is>
      </c>
      <c r="C19" s="42" t="inlineStr">
        <is>
          <t>Merlin 1D</t>
        </is>
      </c>
      <c r="D19" s="43" t="n">
        <v>9</v>
      </c>
      <c r="E19" s="43" t="n">
        <v>411000</v>
      </c>
      <c r="F19" s="43" t="n">
        <v>22200</v>
      </c>
      <c r="G19" s="43" t="n">
        <v>433200</v>
      </c>
      <c r="H19" s="43" t="n">
        <v>5.4</v>
      </c>
      <c r="I19" s="44" t="inlineStr">
        <is>
          <t>Reusable; includes grid fins, landing legs, interstage</t>
        </is>
      </c>
    </row>
    <row r="20" ht="15" customHeight="1">
      <c r="A20" s="46" t="inlineStr"/>
      <c r="B20" s="46" t="inlineStr">
        <is>
          <t>S2 Upper</t>
        </is>
      </c>
      <c r="C20" s="46" t="inlineStr">
        <is>
          <t>Merlin 1D Vac</t>
        </is>
      </c>
      <c r="D20" s="47" t="n">
        <v>1</v>
      </c>
      <c r="E20" s="47" t="n">
        <v>111500</v>
      </c>
      <c r="F20" s="47" t="n">
        <v>4000</v>
      </c>
      <c r="G20" s="47" t="n">
        <v>115500</v>
      </c>
      <c r="H20" s="47" t="n">
        <v>3.59</v>
      </c>
      <c r="I20" s="48" t="inlineStr">
        <is>
          <t>Single Merlin Vacuum engine</t>
        </is>
      </c>
    </row>
    <row r="21" ht="15" customHeight="1">
      <c r="A21" s="41" t="inlineStr">
        <is>
          <t>Falcon Heavy</t>
        </is>
      </c>
      <c r="B21" s="42" t="inlineStr">
        <is>
          <t>Center Core</t>
        </is>
      </c>
      <c r="C21" s="42" t="inlineStr">
        <is>
          <t>Merlin 1D</t>
        </is>
      </c>
      <c r="D21" s="43" t="n">
        <v>9</v>
      </c>
      <c r="E21" s="43" t="n">
        <v>411000</v>
      </c>
      <c r="F21" s="43" t="n">
        <v>25600</v>
      </c>
      <c r="G21" s="43" t="n">
        <v>436600</v>
      </c>
      <c r="H21" s="43" t="n">
        <v>6.23</v>
      </c>
      <c r="I21" s="44" t="inlineStr">
        <is>
          <t>Reinforced; cross-feed ready</t>
        </is>
      </c>
    </row>
    <row r="22" ht="15" customHeight="1">
      <c r="A22" s="46" t="inlineStr"/>
      <c r="B22" s="46" t="inlineStr">
        <is>
          <t>Side Booster (x2)</t>
        </is>
      </c>
      <c r="C22" s="46" t="inlineStr">
        <is>
          <t>Merlin 1D</t>
        </is>
      </c>
      <c r="D22" s="47" t="n">
        <v>9</v>
      </c>
      <c r="E22" s="47" t="n">
        <v>411000</v>
      </c>
      <c r="F22" s="47" t="n">
        <v>22200</v>
      </c>
      <c r="G22" s="47" t="n">
        <v>433200</v>
      </c>
      <c r="H22" s="47" t="n">
        <v>5.4</v>
      </c>
      <c r="I22" s="48" t="inlineStr">
        <is>
          <t>Two identical; mass shown per booster</t>
        </is>
      </c>
    </row>
    <row r="23" ht="15" customHeight="1">
      <c r="A23" s="42" t="inlineStr"/>
      <c r="B23" s="42" t="inlineStr">
        <is>
          <t>S2 Upper</t>
        </is>
      </c>
      <c r="C23" s="42" t="inlineStr">
        <is>
          <t>Merlin 1D Vac</t>
        </is>
      </c>
      <c r="D23" s="43" t="n">
        <v>1</v>
      </c>
      <c r="E23" s="43" t="n">
        <v>111500</v>
      </c>
      <c r="F23" s="43" t="n">
        <v>4000</v>
      </c>
      <c r="G23" s="43" t="n">
        <v>115500</v>
      </c>
      <c r="H23" s="43" t="n">
        <v>3.59</v>
      </c>
      <c r="I23" s="44" t="inlineStr">
        <is>
          <t>Single Merlin Vacuum</t>
        </is>
      </c>
    </row>
    <row r="24" ht="15" customHeight="1">
      <c r="A24" s="45" t="inlineStr">
        <is>
          <t>Atlas V 401</t>
        </is>
      </c>
      <c r="B24" s="46" t="inlineStr">
        <is>
          <t>CBC Booster</t>
        </is>
      </c>
      <c r="C24" s="46" t="inlineStr">
        <is>
          <t>RD-180</t>
        </is>
      </c>
      <c r="D24" s="47" t="n">
        <v>1</v>
      </c>
      <c r="E24" s="47" t="n">
        <v>284089</v>
      </c>
      <c r="F24" s="47" t="n">
        <v>21054</v>
      </c>
      <c r="G24" s="47" t="n">
        <v>305143</v>
      </c>
      <c r="H24" s="47" t="n">
        <v>7.41</v>
      </c>
      <c r="I24" s="48" t="inlineStr">
        <is>
          <t>Russian-built engine; kerosene/LOX</t>
        </is>
      </c>
    </row>
    <row r="25" ht="15" customHeight="1">
      <c r="A25" s="42" t="inlineStr"/>
      <c r="B25" s="42" t="inlineStr">
        <is>
          <t>Centaur III</t>
        </is>
      </c>
      <c r="C25" s="42" t="inlineStr">
        <is>
          <t>RL-10A-4-2</t>
        </is>
      </c>
      <c r="D25" s="43" t="n">
        <v>1</v>
      </c>
      <c r="E25" s="43" t="n">
        <v>20830</v>
      </c>
      <c r="F25" s="43" t="n">
        <v>2316</v>
      </c>
      <c r="G25" s="43" t="n">
        <v>23146</v>
      </c>
      <c r="H25" s="43" t="n">
        <v>11.12</v>
      </c>
      <c r="I25" s="44" t="inlineStr">
        <is>
          <t>High-energy upper stage; LOX/LH2</t>
        </is>
      </c>
    </row>
    <row r="26" ht="15" customHeight="1">
      <c r="A26" s="45" t="inlineStr">
        <is>
          <t>Delta IV Heavy</t>
        </is>
      </c>
      <c r="B26" s="46" t="inlineStr">
        <is>
          <t>Center CBC</t>
        </is>
      </c>
      <c r="C26" s="46" t="inlineStr">
        <is>
          <t>RS-68A</t>
        </is>
      </c>
      <c r="D26" s="47" t="n">
        <v>1</v>
      </c>
      <c r="E26" s="47" t="n">
        <v>202000</v>
      </c>
      <c r="F26" s="47" t="n">
        <v>26760</v>
      </c>
      <c r="G26" s="47" t="n">
        <v>228760</v>
      </c>
      <c r="H26" s="47" t="n">
        <v>13.25</v>
      </c>
      <c r="I26" s="48" t="inlineStr">
        <is>
          <t>LOX/LH2 core; mass per CBC</t>
        </is>
      </c>
    </row>
    <row r="27" ht="15" customHeight="1">
      <c r="A27" s="42" t="inlineStr"/>
      <c r="B27" s="42" t="inlineStr">
        <is>
          <t>Side CBC (x2)</t>
        </is>
      </c>
      <c r="C27" s="42" t="inlineStr">
        <is>
          <t>RS-68A</t>
        </is>
      </c>
      <c r="D27" s="43" t="n">
        <v>1</v>
      </c>
      <c r="E27" s="43" t="n">
        <v>202000</v>
      </c>
      <c r="F27" s="43" t="n">
        <v>26760</v>
      </c>
      <c r="G27" s="43" t="n">
        <v>228760</v>
      </c>
      <c r="H27" s="43" t="n">
        <v>13.25</v>
      </c>
      <c r="I27" s="44" t="inlineStr">
        <is>
          <t>Two identical side boosters; mass per booster</t>
        </is>
      </c>
    </row>
    <row r="28" ht="15" customHeight="1">
      <c r="A28" s="46" t="inlineStr"/>
      <c r="B28" s="46" t="inlineStr">
        <is>
          <t>DCSS</t>
        </is>
      </c>
      <c r="C28" s="46" t="inlineStr">
        <is>
          <t>RL-10B-2</t>
        </is>
      </c>
      <c r="D28" s="47" t="n">
        <v>1</v>
      </c>
      <c r="E28" s="47" t="n">
        <v>27220</v>
      </c>
      <c r="F28" s="47" t="n">
        <v>3490</v>
      </c>
      <c r="G28" s="47" t="n">
        <v>30710</v>
      </c>
      <c r="H28" s="47" t="n">
        <v>12.82</v>
      </c>
      <c r="I28" s="48" t="inlineStr">
        <is>
          <t>Delta Cryogenic Second Stage; LOX/LH2</t>
        </is>
      </c>
    </row>
    <row r="29" ht="15" customHeight="1">
      <c r="A29" s="41" t="inlineStr">
        <is>
          <t>Ariane 5 ECA</t>
        </is>
      </c>
      <c r="B29" s="42" t="inlineStr">
        <is>
          <t>EAP Solids (x2)</t>
        </is>
      </c>
      <c r="C29" s="42" t="inlineStr">
        <is>
          <t>P80</t>
        </is>
      </c>
      <c r="D29" s="43" t="n">
        <v>1</v>
      </c>
      <c r="E29" s="43" t="n">
        <v>237000</v>
      </c>
      <c r="F29" s="43" t="n">
        <v>30000</v>
      </c>
      <c r="G29" s="43" t="n">
        <v>267000</v>
      </c>
      <c r="H29" s="43" t="n">
        <v>12.66</v>
      </c>
      <c r="I29" s="44" t="inlineStr">
        <is>
          <t>Solid strap-on; each booster; actual Isp ~274s; P80 shown as proxy</t>
        </is>
      </c>
    </row>
    <row r="30" ht="15" customHeight="1">
      <c r="A30" s="46" t="inlineStr"/>
      <c r="B30" s="46" t="inlineStr">
        <is>
          <t>EPC Core</t>
        </is>
      </c>
      <c r="C30" s="46" t="inlineStr">
        <is>
          <t>Vulcain 2</t>
        </is>
      </c>
      <c r="D30" s="47" t="n">
        <v>1</v>
      </c>
      <c r="E30" s="47" t="n">
        <v>158000</v>
      </c>
      <c r="F30" s="47" t="n">
        <v>14700</v>
      </c>
      <c r="G30" s="47" t="n">
        <v>172700</v>
      </c>
      <c r="H30" s="47" t="n">
        <v>9.300000000000001</v>
      </c>
      <c r="I30" s="48" t="inlineStr">
        <is>
          <t>LOX/LH2 core stage</t>
        </is>
      </c>
    </row>
    <row r="31" ht="15" customHeight="1">
      <c r="A31" s="42" t="inlineStr"/>
      <c r="B31" s="42" t="inlineStr">
        <is>
          <t>ESC-A Upper</t>
        </is>
      </c>
      <c r="C31" s="42" t="inlineStr">
        <is>
          <t>HM7B</t>
        </is>
      </c>
      <c r="D31" s="43" t="n">
        <v>1</v>
      </c>
      <c r="E31" s="43" t="n">
        <v>14700</v>
      </c>
      <c r="F31" s="43" t="n">
        <v>1400</v>
      </c>
      <c r="G31" s="43" t="n">
        <v>16100</v>
      </c>
      <c r="H31" s="43" t="n">
        <v>9.52</v>
      </c>
      <c r="I31" s="44" t="inlineStr">
        <is>
          <t>LOX/LH2 upper stage; restartable</t>
        </is>
      </c>
    </row>
    <row r="32" ht="15" customHeight="1">
      <c r="A32" s="45" t="inlineStr">
        <is>
          <t>Soyuz-2.1b</t>
        </is>
      </c>
      <c r="B32" s="46" t="inlineStr">
        <is>
          <t>Block B/V/G/D (x4)</t>
        </is>
      </c>
      <c r="C32" s="46" t="inlineStr">
        <is>
          <t>RD-107A</t>
        </is>
      </c>
      <c r="D32" s="47" t="n">
        <v>1</v>
      </c>
      <c r="E32" s="47" t="n">
        <v>39600</v>
      </c>
      <c r="F32" s="47" t="n">
        <v>3784</v>
      </c>
      <c r="G32" s="47" t="n">
        <v>43384</v>
      </c>
      <c r="H32" s="47" t="n">
        <v>9.56</v>
      </c>
      <c r="I32" s="48" t="inlineStr">
        <is>
          <t>4 strap-on boosters; burn with core; mass per booster</t>
        </is>
      </c>
    </row>
    <row r="33" ht="15" customHeight="1">
      <c r="A33" s="42" t="inlineStr"/>
      <c r="B33" s="42" t="inlineStr">
        <is>
          <t>Block A Core</t>
        </is>
      </c>
      <c r="C33" s="42" t="inlineStr">
        <is>
          <t>RD-108A</t>
        </is>
      </c>
      <c r="D33" s="43" t="n">
        <v>1</v>
      </c>
      <c r="E33" s="43" t="n">
        <v>90360</v>
      </c>
      <c r="F33" s="43" t="n">
        <v>6545</v>
      </c>
      <c r="G33" s="43" t="n">
        <v>96905</v>
      </c>
      <c r="H33" s="43" t="n">
        <v>7.24</v>
      </c>
      <c r="I33" s="44" t="inlineStr">
        <is>
          <t>Burns simultaneously with boosters from liftoff</t>
        </is>
      </c>
    </row>
    <row r="34" ht="15" customHeight="1">
      <c r="A34" s="46" t="inlineStr"/>
      <c r="B34" s="46" t="inlineStr">
        <is>
          <t>Block I (S3)</t>
        </is>
      </c>
      <c r="C34" s="46" t="inlineStr">
        <is>
          <t>RD-0124</t>
        </is>
      </c>
      <c r="D34" s="47" t="n">
        <v>4</v>
      </c>
      <c r="E34" s="47" t="n">
        <v>25400</v>
      </c>
      <c r="F34" s="47" t="n">
        <v>2355</v>
      </c>
      <c r="G34" s="47" t="n">
        <v>27755</v>
      </c>
      <c r="H34" s="47" t="n">
        <v>9.27</v>
      </c>
      <c r="I34" s="48" t="inlineStr">
        <is>
          <t>4-chamber upper stage; high Isp</t>
        </is>
      </c>
    </row>
    <row r="35" ht="15" customHeight="1">
      <c r="A35" s="41" t="inlineStr">
        <is>
          <t>Saturn V</t>
        </is>
      </c>
      <c r="B35" s="42" t="inlineStr">
        <is>
          <t>S-IC First</t>
        </is>
      </c>
      <c r="C35" s="42" t="inlineStr">
        <is>
          <t>F-1</t>
        </is>
      </c>
      <c r="D35" s="43" t="n">
        <v>5</v>
      </c>
      <c r="E35" s="43" t="n">
        <v>2077000</v>
      </c>
      <c r="F35" s="43" t="n">
        <v>130000</v>
      </c>
      <c r="G35" s="43" t="n">
        <v>2207000</v>
      </c>
      <c r="H35" s="43" t="n">
        <v>6.26</v>
      </c>
      <c r="I35" s="44" t="inlineStr">
        <is>
          <t>LOX/RP-1; 5 F-1 engines</t>
        </is>
      </c>
    </row>
    <row r="36" ht="15" customHeight="1">
      <c r="A36" s="46" t="inlineStr"/>
      <c r="B36" s="46" t="inlineStr">
        <is>
          <t>S-II Second</t>
        </is>
      </c>
      <c r="C36" s="46" t="inlineStr">
        <is>
          <t>J-2</t>
        </is>
      </c>
      <c r="D36" s="47" t="n">
        <v>5</v>
      </c>
      <c r="E36" s="47" t="n">
        <v>426000</v>
      </c>
      <c r="F36" s="47" t="n">
        <v>36200</v>
      </c>
      <c r="G36" s="47" t="n">
        <v>462200</v>
      </c>
      <c r="H36" s="47" t="n">
        <v>8.5</v>
      </c>
      <c r="I36" s="48" t="inlineStr">
        <is>
          <t>LOX/LH2; 5 J-2 engines</t>
        </is>
      </c>
    </row>
    <row r="37" ht="15" customHeight="1">
      <c r="A37" s="42" t="inlineStr"/>
      <c r="B37" s="42" t="inlineStr">
        <is>
          <t>S-IVB Third</t>
        </is>
      </c>
      <c r="C37" s="42" t="inlineStr">
        <is>
          <t>J-2</t>
        </is>
      </c>
      <c r="D37" s="43" t="n">
        <v>1</v>
      </c>
      <c r="E37" s="43" t="n">
        <v>106000</v>
      </c>
      <c r="F37" s="43" t="n">
        <v>10000</v>
      </c>
      <c r="G37" s="43" t="n">
        <v>116000</v>
      </c>
      <c r="H37" s="43" t="n">
        <v>9.43</v>
      </c>
      <c r="I37" s="44" t="inlineStr">
        <is>
          <t>LOX/LH2; 1 J-2; also used as TMI stage</t>
        </is>
      </c>
    </row>
    <row r="38" ht="15" customHeight="1">
      <c r="A38" s="45" t="inlineStr">
        <is>
          <t>SLS Block 1</t>
        </is>
      </c>
      <c r="B38" s="46" t="inlineStr">
        <is>
          <t>SLS SRB (x2)</t>
        </is>
      </c>
      <c r="C38" s="46" t="inlineStr">
        <is>
          <t>SRB (SLS 5-seg)</t>
        </is>
      </c>
      <c r="D38" s="47" t="n">
        <v>1</v>
      </c>
      <c r="E38" s="47" t="n">
        <v>590000</v>
      </c>
      <c r="F38" s="47" t="n">
        <v>90718</v>
      </c>
      <c r="G38" s="47" t="n">
        <v>680718</v>
      </c>
      <c r="H38" s="47" t="n">
        <v>15.38</v>
      </c>
      <c r="I38" s="48" t="inlineStr">
        <is>
          <t>5-segment solid strap-on; mass per booster</t>
        </is>
      </c>
    </row>
    <row r="39" ht="15" customHeight="1">
      <c r="A39" s="42" t="inlineStr"/>
      <c r="B39" s="42" t="inlineStr">
        <is>
          <t>Core Stage</t>
        </is>
      </c>
      <c r="C39" s="42" t="inlineStr">
        <is>
          <t>RS-25 (SSME)</t>
        </is>
      </c>
      <c r="D39" s="43" t="n">
        <v>4</v>
      </c>
      <c r="E39" s="43" t="n">
        <v>987000</v>
      </c>
      <c r="F39" s="43" t="n">
        <v>85000</v>
      </c>
      <c r="G39" s="43" t="n">
        <v>1072000</v>
      </c>
      <c r="H39" s="43" t="n">
        <v>8.609999999999999</v>
      </c>
      <c r="I39" s="44" t="inlineStr">
        <is>
          <t>LOX/LH2; 4 RS-25D engines</t>
        </is>
      </c>
    </row>
    <row r="40" ht="15" customHeight="1">
      <c r="A40" s="46" t="inlineStr"/>
      <c r="B40" s="46" t="inlineStr">
        <is>
          <t>ICPS Upper</t>
        </is>
      </c>
      <c r="C40" s="46" t="inlineStr">
        <is>
          <t>RL-10C-3</t>
        </is>
      </c>
      <c r="D40" s="47" t="n">
        <v>1</v>
      </c>
      <c r="E40" s="47" t="n">
        <v>27220</v>
      </c>
      <c r="F40" s="47" t="n">
        <v>3500</v>
      </c>
      <c r="G40" s="47" t="n">
        <v>30720</v>
      </c>
      <c r="H40" s="47" t="n">
        <v>12.86</v>
      </c>
      <c r="I40" s="48" t="inlineStr">
        <is>
          <t>Interim Cryogenic Propulsion Stage; LOX/LH2</t>
        </is>
      </c>
    </row>
    <row r="41" ht="15" customHeight="1">
      <c r="A41" s="41" t="inlineStr">
        <is>
          <t>New Glenn (7x2 Baseline)</t>
        </is>
      </c>
      <c r="B41" s="42" t="inlineStr">
        <is>
          <t>S1 First</t>
        </is>
      </c>
      <c r="C41" s="42" t="inlineStr">
        <is>
          <t>BE-4</t>
        </is>
      </c>
      <c r="D41" s="43" t="n">
        <v>7</v>
      </c>
      <c r="E41" s="43" t="n">
        <v>770000</v>
      </c>
      <c r="F41" s="43" t="n">
        <v>55000</v>
      </c>
      <c r="G41" s="43" t="n">
        <v>825000</v>
      </c>
      <c r="H41" s="43" t="n">
        <v>7.14</v>
      </c>
      <c r="I41" s="44" t="inlineStr">
        <is>
          <t>LOX/CH4; 7 BE-4 baseline engines; reusable</t>
        </is>
      </c>
    </row>
    <row r="42" ht="15" customHeight="1">
      <c r="A42" s="46" t="inlineStr"/>
      <c r="B42" s="46" t="inlineStr">
        <is>
          <t>S2 Upper</t>
        </is>
      </c>
      <c r="C42" s="46" t="inlineStr">
        <is>
          <t>BE-3U</t>
        </is>
      </c>
      <c r="D42" s="47" t="n">
        <v>2</v>
      </c>
      <c r="E42" s="47" t="n">
        <v>75000</v>
      </c>
      <c r="F42" s="47" t="n">
        <v>10000</v>
      </c>
      <c r="G42" s="47" t="n">
        <v>85000</v>
      </c>
      <c r="H42" s="47" t="n">
        <v>13.33</v>
      </c>
      <c r="I42" s="48" t="inlineStr">
        <is>
          <t>LOX/LH2; 2 BE-3U baseline engines</t>
        </is>
      </c>
    </row>
    <row r="43" ht="15" customHeight="1">
      <c r="A43" s="41" t="inlineStr">
        <is>
          <t>New Glenn Block 2 (7x2 Upgraded)</t>
        </is>
      </c>
      <c r="B43" s="42" t="inlineStr">
        <is>
          <t>S1 First</t>
        </is>
      </c>
      <c r="C43" s="42" t="inlineStr">
        <is>
          <t>BE-4 Block 2</t>
        </is>
      </c>
      <c r="D43" s="43" t="n">
        <v>7</v>
      </c>
      <c r="E43" s="43" t="n">
        <v>770000</v>
      </c>
      <c r="F43" s="43" t="n">
        <v>55000</v>
      </c>
      <c r="G43" s="43" t="n">
        <v>825000</v>
      </c>
      <c r="H43" s="43" t="n">
        <v>7.14</v>
      </c>
      <c r="I43" s="44" t="inlineStr">
        <is>
          <t>LOX/CH4; 7 BE-4 Block 2; 640,000 lbf each with subcooling; reusable</t>
        </is>
      </c>
    </row>
    <row r="44" ht="15" customHeight="1">
      <c r="A44" s="46" t="inlineStr"/>
      <c r="B44" s="46" t="inlineStr">
        <is>
          <t>S2 Upper</t>
        </is>
      </c>
      <c r="C44" s="46" t="inlineStr">
        <is>
          <t>BE-3U Block 2</t>
        </is>
      </c>
      <c r="D44" s="47" t="n">
        <v>2</v>
      </c>
      <c r="E44" s="47" t="n">
        <v>75000</v>
      </c>
      <c r="F44" s="47" t="n">
        <v>10000</v>
      </c>
      <c r="G44" s="47" t="n">
        <v>85000</v>
      </c>
      <c r="H44" s="47" t="n">
        <v>13.33</v>
      </c>
      <c r="I44" s="48" t="inlineStr">
        <is>
          <t>LOX/LH2; 2 BE-3U Block 2; 200,000 lbf each</t>
        </is>
      </c>
    </row>
    <row r="45" ht="15" customHeight="1">
      <c r="A45" s="41" t="inlineStr">
        <is>
          <t>New Glenn 9x4</t>
        </is>
      </c>
      <c r="B45" s="42" t="inlineStr">
        <is>
          <t>S1 First</t>
        </is>
      </c>
      <c r="C45" s="42" t="inlineStr">
        <is>
          <t>BE-4 Block 2</t>
        </is>
      </c>
      <c r="D45" s="43" t="n">
        <v>9</v>
      </c>
      <c r="E45" s="43" t="n">
        <v>990000</v>
      </c>
      <c r="F45" s="43" t="n">
        <v>70000</v>
      </c>
      <c r="G45" s="43" t="n">
        <v>1060000</v>
      </c>
      <c r="H45" s="43" t="n">
        <v>7.07</v>
      </c>
      <c r="I45" s="44" t="inlineStr">
        <is>
          <t>LOX/CH4; 9 BE-4 Block 2; prop mass estimated ~990t; reusable</t>
        </is>
      </c>
    </row>
    <row r="46" ht="15" customHeight="1">
      <c r="A46" s="46" t="inlineStr"/>
      <c r="B46" s="46" t="inlineStr">
        <is>
          <t>S2 Upper</t>
        </is>
      </c>
      <c r="C46" s="46" t="inlineStr">
        <is>
          <t>BE-3U Block 2</t>
        </is>
      </c>
      <c r="D46" s="47" t="n">
        <v>4</v>
      </c>
      <c r="E46" s="47" t="n">
        <v>95000</v>
      </c>
      <c r="F46" s="47" t="n">
        <v>13000</v>
      </c>
      <c r="G46" s="47" t="n">
        <v>108000</v>
      </c>
      <c r="H46" s="47" t="n">
        <v>13.68</v>
      </c>
      <c r="I46" s="48" t="inlineStr">
        <is>
          <t>LOX/LH2; 4 BE-3U Block 2; prop mass estimated ~95t</t>
        </is>
      </c>
    </row>
    <row r="47" ht="15" customHeight="1">
      <c r="A47" s="41" t="inlineStr">
        <is>
          <t>Starship (IFT-6 config)</t>
        </is>
      </c>
      <c r="B47" s="42" t="inlineStr">
        <is>
          <t>Super Heavy</t>
        </is>
      </c>
      <c r="C47" s="42" t="inlineStr">
        <is>
          <t>Raptor 2</t>
        </is>
      </c>
      <c r="D47" s="43" t="n">
        <v>33</v>
      </c>
      <c r="E47" s="43" t="n">
        <v>3400000</v>
      </c>
      <c r="F47" s="43" t="n">
        <v>200000</v>
      </c>
      <c r="G47" s="43" t="n">
        <v>3600000</v>
      </c>
      <c r="H47" s="43" t="n">
        <v>5.88</v>
      </c>
      <c r="I47" s="44" t="inlineStr">
        <is>
          <t>LOX/CH4; 33 Raptor engines; reusable booster</t>
        </is>
      </c>
    </row>
    <row r="48" ht="15" customHeight="1">
      <c r="A48" s="46" t="inlineStr"/>
      <c r="B48" s="46" t="inlineStr">
        <is>
          <t>Starship</t>
        </is>
      </c>
      <c r="C48" s="46" t="inlineStr">
        <is>
          <t>Raptor 2</t>
        </is>
      </c>
      <c r="D48" s="47" t="n">
        <v>6</v>
      </c>
      <c r="E48" s="47" t="n">
        <v>1200000</v>
      </c>
      <c r="F48" s="47" t="n">
        <v>100000</v>
      </c>
      <c r="G48" s="47" t="n">
        <v>1300000</v>
      </c>
      <c r="H48" s="47" t="n">
        <v>8.33</v>
      </c>
      <c r="I48" s="48" t="inlineStr">
        <is>
          <t>LOX/CH4; 3 vac + 3 SL Raptors; reusable ship</t>
        </is>
      </c>
    </row>
    <row r="49" ht="15" customHeight="1">
      <c r="A49" s="41" t="inlineStr">
        <is>
          <t>Vulcan Centaur</t>
        </is>
      </c>
      <c r="B49" s="42" t="inlineStr">
        <is>
          <t>First Stage</t>
        </is>
      </c>
      <c r="C49" s="42" t="inlineStr">
        <is>
          <t>BE-4</t>
        </is>
      </c>
      <c r="D49" s="43" t="n">
        <v>2</v>
      </c>
      <c r="E49" s="43" t="n">
        <v>406000</v>
      </c>
      <c r="F49" s="43" t="n">
        <v>22400</v>
      </c>
      <c r="G49" s="43" t="n">
        <v>428400</v>
      </c>
      <c r="H49" s="43" t="n">
        <v>5.52</v>
      </c>
      <c r="I49" s="44" t="inlineStr">
        <is>
          <t>LOX/CH4; 2 BE-4 engines</t>
        </is>
      </c>
    </row>
    <row r="50" ht="15" customHeight="1">
      <c r="A50" s="46" t="inlineStr"/>
      <c r="B50" s="46" t="inlineStr">
        <is>
          <t>Centaur V</t>
        </is>
      </c>
      <c r="C50" s="46" t="inlineStr">
        <is>
          <t>RL-10C-1</t>
        </is>
      </c>
      <c r="D50" s="47" t="n">
        <v>2</v>
      </c>
      <c r="E50" s="47" t="n">
        <v>54000</v>
      </c>
      <c r="F50" s="47" t="n">
        <v>6300</v>
      </c>
      <c r="G50" s="47" t="n">
        <v>60300</v>
      </c>
      <c r="H50" s="47" t="n">
        <v>11.67</v>
      </c>
      <c r="I50" s="48" t="inlineStr">
        <is>
          <t>LOX/LH2; 1 or 2 RL-10C-1; dual-engine shown</t>
        </is>
      </c>
    </row>
  </sheetData>
  <mergeCells count="2">
    <mergeCell ref="A17:I1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8" customWidth="1" min="4" max="4"/>
    <col width="18" customWidth="1" min="5" max="5"/>
    <col width="15" customWidth="1" min="6" max="6"/>
    <col width="55" customWidth="1" min="7" max="7"/>
    <col width="18" customWidth="1" min="8" max="8"/>
    <col width="10" customWidth="1" min="9" max="9"/>
    <col width="50" customWidth="1" min="10" max="10"/>
  </cols>
  <sheetData>
    <row r="1" ht="20" customHeight="1">
      <c r="A1" s="1" t="inlineStr">
        <is>
          <t>PROPELLANT PROPERTIES</t>
        </is>
      </c>
    </row>
    <row r="2" ht="30" customHeight="1">
      <c r="A2" s="38" t="inlineStr">
        <is>
          <t>Propellant</t>
        </is>
      </c>
      <c r="B2" s="38" t="inlineStr">
        <is>
          <t>Oxidizer</t>
        </is>
      </c>
      <c r="C2" s="38" t="inlineStr">
        <is>
          <t>Fuel</t>
        </is>
      </c>
      <c r="D2" s="38" t="inlineStr">
        <is>
          <t>Ox Density (kg/m³)</t>
        </is>
      </c>
      <c r="E2" s="38" t="inlineStr">
        <is>
          <t>Fuel Density (kg/m³)</t>
        </is>
      </c>
      <c r="F2" s="38" t="inlineStr">
        <is>
          <t>Mix Ratio (O/F)</t>
        </is>
      </c>
      <c r="G2" s="38" t="inlineStr">
        <is>
          <t>Bulk Density* (kg/m³)</t>
        </is>
      </c>
      <c r="H2" s="38" t="inlineStr">
        <is>
          <t>Typical Vac Isp (s)</t>
        </is>
      </c>
      <c r="I2" s="38" t="inlineStr">
        <is>
          <t>Storable?</t>
        </is>
      </c>
      <c r="J2" s="38" t="inlineStr">
        <is>
          <t>Notes</t>
        </is>
      </c>
    </row>
    <row r="3" ht="15" customHeight="1">
      <c r="A3" s="42" t="inlineStr">
        <is>
          <t>LOX/RP-1</t>
        </is>
      </c>
      <c r="B3" s="42" t="inlineStr">
        <is>
          <t>LOX</t>
        </is>
      </c>
      <c r="C3" s="42" t="inlineStr">
        <is>
          <t>RP-1 (Kerosene)</t>
        </is>
      </c>
      <c r="D3" s="43" t="n">
        <v>1141</v>
      </c>
      <c r="E3" s="43" t="n">
        <v>820</v>
      </c>
      <c r="F3" s="43" t="n">
        <v>2.56</v>
      </c>
      <c r="G3" s="43" t="n">
        <v>1051</v>
      </c>
      <c r="H3" s="43" t="n">
        <v>330</v>
      </c>
      <c r="I3" s="42" t="inlineStr">
        <is>
          <t>No</t>
        </is>
      </c>
      <c r="J3" s="44" t="inlineStr">
        <is>
          <t>Dense; good SL performance; not storable; workhorse combo</t>
        </is>
      </c>
    </row>
    <row r="4" ht="15" customHeight="1">
      <c r="A4" s="46" t="inlineStr">
        <is>
          <t>LOX/LH2</t>
        </is>
      </c>
      <c r="B4" s="46" t="inlineStr">
        <is>
          <t>LOX</t>
        </is>
      </c>
      <c r="C4" s="46" t="inlineStr">
        <is>
          <t>LH2 (Hydrogen)</t>
        </is>
      </c>
      <c r="D4" s="47" t="n">
        <v>1141</v>
      </c>
      <c r="E4" s="47" t="n">
        <v>71</v>
      </c>
      <c r="F4" s="47" t="n">
        <v>5.5</v>
      </c>
      <c r="G4" s="47" t="n">
        <v>976</v>
      </c>
      <c r="H4" s="47" t="n">
        <v>455</v>
      </c>
      <c r="I4" s="46" t="inlineStr">
        <is>
          <t>No</t>
        </is>
      </c>
      <c r="J4" s="48" t="inlineStr">
        <is>
          <t>Highest Isp; low density challenges; large tanks required</t>
        </is>
      </c>
    </row>
    <row r="5" ht="15" customHeight="1">
      <c r="A5" s="42" t="inlineStr">
        <is>
          <t>LOX/CH4</t>
        </is>
      </c>
      <c r="B5" s="42" t="inlineStr">
        <is>
          <t>LOX</t>
        </is>
      </c>
      <c r="C5" s="42" t="inlineStr">
        <is>
          <t>CH4 (Methane)</t>
        </is>
      </c>
      <c r="D5" s="43" t="n">
        <v>1141</v>
      </c>
      <c r="E5" s="43" t="n">
        <v>423</v>
      </c>
      <c r="F5" s="43" t="n">
        <v>3.55</v>
      </c>
      <c r="G5" s="43" t="n">
        <v>983</v>
      </c>
      <c r="H5" s="43" t="n">
        <v>360</v>
      </c>
      <c r="I5" s="42" t="inlineStr">
        <is>
          <t>No</t>
        </is>
      </c>
      <c r="J5" s="44" t="inlineStr">
        <is>
          <t>Good Isp + density; reusability-friendly; ISRU potential</t>
        </is>
      </c>
    </row>
    <row r="6" ht="15" customHeight="1">
      <c r="A6" s="46" t="inlineStr">
        <is>
          <t>NTO/MMH</t>
        </is>
      </c>
      <c r="B6" s="46" t="inlineStr">
        <is>
          <t>NTO</t>
        </is>
      </c>
      <c r="C6" s="46" t="inlineStr">
        <is>
          <t>MMH</t>
        </is>
      </c>
      <c r="D6" s="47" t="n">
        <v>1450</v>
      </c>
      <c r="E6" s="47" t="n">
        <v>880</v>
      </c>
      <c r="F6" s="47" t="n">
        <v>1.65</v>
      </c>
      <c r="G6" s="47" t="n">
        <v>1235</v>
      </c>
      <c r="H6" s="47" t="n">
        <v>320</v>
      </c>
      <c r="I6" s="46" t="inlineStr">
        <is>
          <t>Yes</t>
        </is>
      </c>
      <c r="J6" s="48" t="inlineStr">
        <is>
          <t>Hypergolic; storable; common for upper stages and RCS</t>
        </is>
      </c>
    </row>
    <row r="7" ht="15" customHeight="1">
      <c r="A7" s="42" t="inlineStr">
        <is>
          <t>NTO/UDMH</t>
        </is>
      </c>
      <c r="B7" s="42" t="inlineStr">
        <is>
          <t>NTO</t>
        </is>
      </c>
      <c r="C7" s="42" t="inlineStr">
        <is>
          <t>UDMH</t>
        </is>
      </c>
      <c r="D7" s="43" t="n">
        <v>1450</v>
      </c>
      <c r="E7" s="43" t="n">
        <v>793</v>
      </c>
      <c r="F7" s="43" t="n">
        <v>2.6</v>
      </c>
      <c r="G7" s="43" t="n">
        <v>1268</v>
      </c>
      <c r="H7" s="43" t="n">
        <v>310</v>
      </c>
      <c r="I7" s="42" t="inlineStr">
        <is>
          <t>Yes</t>
        </is>
      </c>
      <c r="J7" s="44" t="inlineStr">
        <is>
          <t>Hypergolic; storable; Russian/Chinese first stages</t>
        </is>
      </c>
    </row>
    <row r="8" ht="15" customHeight="1">
      <c r="A8" s="46" t="inlineStr">
        <is>
          <t>NTO/Aerozine-50</t>
        </is>
      </c>
      <c r="B8" s="46" t="inlineStr">
        <is>
          <t>NTO</t>
        </is>
      </c>
      <c r="C8" s="46" t="inlineStr">
        <is>
          <t>Aerozine-50</t>
        </is>
      </c>
      <c r="D8" s="47" t="n">
        <v>1450</v>
      </c>
      <c r="E8" s="47" t="n">
        <v>900</v>
      </c>
      <c r="F8" s="47" t="n">
        <v>1.9</v>
      </c>
      <c r="G8" s="47" t="n">
        <v>1260</v>
      </c>
      <c r="H8" s="47" t="n">
        <v>320</v>
      </c>
      <c r="I8" s="46" t="inlineStr">
        <is>
          <t>Yes</t>
        </is>
      </c>
      <c r="J8" s="48" t="inlineStr">
        <is>
          <t>50/50 N2H4+UDMH; Titan II/IV, Apollo CSM SPS</t>
        </is>
      </c>
    </row>
    <row r="9" ht="15" customHeight="1">
      <c r="A9" s="42" t="inlineStr">
        <is>
          <t>Solid HTPB</t>
        </is>
      </c>
      <c r="B9" s="42" t="inlineStr">
        <is>
          <t>AP</t>
        </is>
      </c>
      <c r="C9" s="42" t="inlineStr">
        <is>
          <t>HTPB Binder</t>
        </is>
      </c>
      <c r="D9" s="43" t="n">
        <v>1790</v>
      </c>
      <c r="E9" s="43" t="n">
        <v>1050</v>
      </c>
      <c r="F9" s="43" t="n">
        <v>3.5</v>
      </c>
      <c r="G9" s="43" t="n">
        <v>1626</v>
      </c>
      <c r="H9" s="43" t="n">
        <v>285</v>
      </c>
      <c r="I9" s="42" t="inlineStr">
        <is>
          <t>Yes</t>
        </is>
      </c>
      <c r="J9" s="44" t="inlineStr">
        <is>
          <t>High density; simple ops; Isp 265-295s depending on formulation</t>
        </is>
      </c>
    </row>
    <row r="10" ht="15" customHeight="1">
      <c r="A10" s="46" t="inlineStr">
        <is>
          <t>Solid PBAN</t>
        </is>
      </c>
      <c r="B10" s="46" t="inlineStr">
        <is>
          <t>AP</t>
        </is>
      </c>
      <c r="C10" s="46" t="inlineStr">
        <is>
          <t>PBAN Binder</t>
        </is>
      </c>
      <c r="D10" s="47" t="n">
        <v>1790</v>
      </c>
      <c r="E10" s="47" t="n">
        <v>1000</v>
      </c>
      <c r="F10" s="47" t="n">
        <v>3.5</v>
      </c>
      <c r="G10" s="47" t="n">
        <v>1614</v>
      </c>
      <c r="H10" s="47" t="n">
        <v>270</v>
      </c>
      <c r="I10" s="46" t="inlineStr">
        <is>
          <t>Yes</t>
        </is>
      </c>
      <c r="J10" s="48" t="inlineStr">
        <is>
          <t>Shuttle/SLS SRB propellant; similar to HTPB</t>
        </is>
      </c>
    </row>
    <row r="11" ht="15" customHeight="1">
      <c r="A11" s="42" t="inlineStr">
        <is>
          <t>H2O2/RP-1</t>
        </is>
      </c>
      <c r="B11" s="42" t="inlineStr">
        <is>
          <t>H2O2</t>
        </is>
      </c>
      <c r="C11" s="42" t="inlineStr">
        <is>
          <t>RP-1</t>
        </is>
      </c>
      <c r="D11" s="43" t="n">
        <v>1440</v>
      </c>
      <c r="E11" s="43" t="n">
        <v>820</v>
      </c>
      <c r="F11" s="43" t="n">
        <v>7</v>
      </c>
      <c r="G11" s="43" t="n">
        <v>1362</v>
      </c>
      <c r="H11" s="43" t="n">
        <v>300</v>
      </c>
      <c r="I11" s="42" t="inlineStr">
        <is>
          <t>No</t>
        </is>
      </c>
      <c r="J11" s="44" t="inlineStr">
        <is>
          <t>Green propellant; lower Isp than LOX/RP-1; non-cryogenic oxidizer</t>
        </is>
      </c>
    </row>
    <row r="12" ht="15" customHeight="1">
      <c r="A12" s="46" t="inlineStr">
        <is>
          <t>LOX/Ethanol</t>
        </is>
      </c>
      <c r="B12" s="46" t="inlineStr">
        <is>
          <t>LOX</t>
        </is>
      </c>
      <c r="C12" s="46" t="inlineStr">
        <is>
          <t>Ethanol</t>
        </is>
      </c>
      <c r="D12" s="47" t="n">
        <v>1141</v>
      </c>
      <c r="E12" s="47" t="n">
        <v>789</v>
      </c>
      <c r="F12" s="47" t="n">
        <v>1.3</v>
      </c>
      <c r="G12" s="47" t="n">
        <v>988</v>
      </c>
      <c r="H12" s="47" t="n">
        <v>311</v>
      </c>
      <c r="I12" s="46" t="inlineStr">
        <is>
          <t>No</t>
        </is>
      </c>
      <c r="J12" s="48" t="inlineStr">
        <is>
          <t>Historical (V-2, Redstone); largely superseded by RP-1</t>
        </is>
      </c>
    </row>
    <row r="14">
      <c r="A14" s="49" t="inlineStr">
        <is>
          <t>* Bulk density = mass-weighted average of oxidizer + fuel at stated mixture ratio</t>
        </is>
      </c>
    </row>
    <row r="16">
      <c r="A16" s="1" t="inlineStr">
        <is>
          <t>SUBSYSTEM MASS FRACTION MODEL — Fractions as % of Propellant Mass</t>
        </is>
      </c>
    </row>
    <row r="17">
      <c r="A17" s="38" t="inlineStr">
        <is>
          <t>Subsystem</t>
        </is>
      </c>
      <c r="B17" s="38" t="inlineStr">
        <is>
          <t>LOX/RP-1 (%)</t>
        </is>
      </c>
      <c r="C17" s="38" t="inlineStr">
        <is>
          <t>LOX/LH2 (%)</t>
        </is>
      </c>
      <c r="D17" s="38" t="inlineStr">
        <is>
          <t>LOX/CH4 (%)</t>
        </is>
      </c>
      <c r="E17" s="38" t="inlineStr">
        <is>
          <t>Solid (%)</t>
        </is>
      </c>
      <c r="F17" s="38" t="inlineStr">
        <is>
          <t>Hypergolic (%)</t>
        </is>
      </c>
      <c r="G17" s="38" t="inlineStr">
        <is>
          <t>Description</t>
        </is>
      </c>
    </row>
    <row r="18" ht="15" customHeight="1">
      <c r="A18" s="46" t="inlineStr">
        <is>
          <t>Tank Structure</t>
        </is>
      </c>
      <c r="B18" s="47" t="n">
        <v>3.5</v>
      </c>
      <c r="C18" s="47" t="n">
        <v>6.5</v>
      </c>
      <c r="D18" s="47" t="n">
        <v>3.8</v>
      </c>
      <c r="E18" s="47" t="n">
        <v>1.8</v>
      </c>
      <c r="F18" s="47" t="n">
        <v>2.5</v>
      </c>
      <c r="G18" s="48" t="inlineStr">
        <is>
          <t>Propellant tanks, interstage, skirt structure; LH2 needs insulation</t>
        </is>
      </c>
    </row>
    <row r="19" ht="15" customHeight="1">
      <c r="A19" s="42" t="inlineStr">
        <is>
          <t>Pressurization System</t>
        </is>
      </c>
      <c r="B19" s="43" t="n">
        <v>0.4</v>
      </c>
      <c r="C19" s="43" t="n">
        <v>0.6</v>
      </c>
      <c r="D19" s="43" t="n">
        <v>0.4</v>
      </c>
      <c r="E19" s="43" t="n">
        <v>0</v>
      </c>
      <c r="F19" s="43" t="n">
        <v>0.5</v>
      </c>
      <c r="G19" s="44" t="inlineStr">
        <is>
          <t>He pressurant tanks, regulators, lines; N/A for solids</t>
        </is>
      </c>
    </row>
    <row r="20" ht="15" customHeight="1">
      <c r="A20" s="46" t="inlineStr">
        <is>
          <t>Feed System / Plumbing</t>
        </is>
      </c>
      <c r="B20" s="47" t="n">
        <v>0.8</v>
      </c>
      <c r="C20" s="47" t="n">
        <v>1</v>
      </c>
      <c r="D20" s="47" t="n">
        <v>0.8</v>
      </c>
      <c r="E20" s="47" t="n">
        <v>0.2</v>
      </c>
      <c r="F20" s="47" t="n">
        <v>0.6</v>
      </c>
      <c r="G20" s="48" t="inlineStr">
        <is>
          <t>Turbopumps, manifolds, valves, lines (exclusive of engine)</t>
        </is>
      </c>
    </row>
    <row r="21" ht="15" customHeight="1">
      <c r="A21" s="42" t="inlineStr">
        <is>
          <t>Avionics / GNC</t>
        </is>
      </c>
      <c r="B21" s="43" t="n">
        <v>0.3</v>
      </c>
      <c r="C21" s="43" t="n">
        <v>0.4</v>
      </c>
      <c r="D21" s="43" t="n">
        <v>0.3</v>
      </c>
      <c r="E21" s="43" t="n">
        <v>0.2</v>
      </c>
      <c r="F21" s="43" t="n">
        <v>0.4</v>
      </c>
      <c r="G21" s="44" t="inlineStr">
        <is>
          <t>Flight computer, IMU, GPS, telemetry; typically fixed-ish mass</t>
        </is>
      </c>
    </row>
    <row r="22" ht="15" customHeight="1">
      <c r="A22" s="46" t="inlineStr">
        <is>
          <t>Power System</t>
        </is>
      </c>
      <c r="B22" s="47" t="n">
        <v>0.2</v>
      </c>
      <c r="C22" s="47" t="n">
        <v>0.3</v>
      </c>
      <c r="D22" s="47" t="n">
        <v>0.2</v>
      </c>
      <c r="E22" s="47" t="n">
        <v>0.1</v>
      </c>
      <c r="F22" s="47" t="n">
        <v>0.2</v>
      </c>
      <c r="G22" s="48" t="inlineStr">
        <is>
          <t>Batteries, power distribution, wiring harness</t>
        </is>
      </c>
    </row>
    <row r="23" ht="15" customHeight="1">
      <c r="A23" s="42" t="inlineStr">
        <is>
          <t>Thermal Control</t>
        </is>
      </c>
      <c r="B23" s="43" t="n">
        <v>0.2</v>
      </c>
      <c r="C23" s="43" t="n">
        <v>1</v>
      </c>
      <c r="D23" s="43" t="n">
        <v>0.3</v>
      </c>
      <c r="E23" s="43" t="n">
        <v>0.1</v>
      </c>
      <c r="F23" s="43" t="n">
        <v>0.3</v>
      </c>
      <c r="G23" s="44" t="inlineStr">
        <is>
          <t>MLI blankets, heaters, paint; LH2 stages significantly higher</t>
        </is>
      </c>
    </row>
    <row r="24" ht="15" customHeight="1">
      <c r="A24" s="46" t="inlineStr">
        <is>
          <t>RCS / ACS</t>
        </is>
      </c>
      <c r="B24" s="47" t="n">
        <v>0.3</v>
      </c>
      <c r="C24" s="47" t="n">
        <v>0.4</v>
      </c>
      <c r="D24" s="47" t="n">
        <v>0.3</v>
      </c>
      <c r="E24" s="47" t="n">
        <v>0.1</v>
      </c>
      <c r="F24" s="47" t="n">
        <v>0.2</v>
      </c>
      <c r="G24" s="48" t="inlineStr">
        <is>
          <t>Reaction control thrusters, propellant, lines</t>
        </is>
      </c>
    </row>
    <row r="25" ht="15" customHeight="1">
      <c r="A25" s="42" t="inlineStr">
        <is>
          <t>Separation System</t>
        </is>
      </c>
      <c r="B25" s="43" t="n">
        <v>0.1</v>
      </c>
      <c r="C25" s="43" t="n">
        <v>0.1</v>
      </c>
      <c r="D25" s="43" t="n">
        <v>0.1</v>
      </c>
      <c r="E25" s="43" t="n">
        <v>0.1</v>
      </c>
      <c r="F25" s="43" t="n">
        <v>0.1</v>
      </c>
      <c r="G25" s="44" t="inlineStr">
        <is>
          <t>Stage separation clampband / ordnance; fairing sep if applicable</t>
        </is>
      </c>
    </row>
    <row r="26" ht="15" customHeight="1">
      <c r="A26" s="46" t="inlineStr">
        <is>
          <t>Recovery Hardware</t>
        </is>
      </c>
      <c r="B26" s="47" t="n">
        <v>0</v>
      </c>
      <c r="C26" s="47" t="n">
        <v>0</v>
      </c>
      <c r="D26" s="47" t="n">
        <v>0</v>
      </c>
      <c r="E26" s="47" t="n">
        <v>0</v>
      </c>
      <c r="F26" s="47" t="n">
        <v>0</v>
      </c>
      <c r="G26" s="48" t="inlineStr">
        <is>
          <t>Landing legs, grid fins, parachutes — add manually if reusable</t>
        </is>
      </c>
    </row>
    <row r="27" ht="15" customHeight="1">
      <c r="A27" s="42" t="inlineStr">
        <is>
          <t>Residuals / Margin</t>
        </is>
      </c>
      <c r="B27" s="43" t="n">
        <v>0.5</v>
      </c>
      <c r="C27" s="43" t="n">
        <v>0.8</v>
      </c>
      <c r="D27" s="43" t="n">
        <v>0.5</v>
      </c>
      <c r="E27" s="43" t="n">
        <v>0.3</v>
      </c>
      <c r="F27" s="43" t="n">
        <v>0.5</v>
      </c>
      <c r="G27" s="44" t="inlineStr">
        <is>
          <t>Unusable propellant, trapped fluids, 3-5% mass growth margin</t>
        </is>
      </c>
    </row>
    <row r="28">
      <c r="A28" s="50" t="inlineStr">
        <is>
          <t>TOTAL (excl. engines)</t>
        </is>
      </c>
      <c r="B28" s="51" t="n">
        <v>6.3</v>
      </c>
      <c r="C28" s="51" t="n">
        <v>11.1</v>
      </c>
      <c r="D28" s="51" t="n">
        <v>6.7</v>
      </c>
      <c r="E28" s="51" t="n">
        <v>2.9</v>
      </c>
      <c r="F28" s="51" t="n">
        <v>5.3</v>
      </c>
      <c r="G28" s="52" t="n"/>
    </row>
  </sheetData>
  <mergeCells count="2">
    <mergeCell ref="A1:J1"/>
    <mergeCell ref="A16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0" customWidth="1" min="8" max="8"/>
    <col width="16" customWidth="1" min="9" max="9"/>
  </cols>
  <sheetData>
    <row r="1" ht="22" customHeight="1">
      <c r="A1" s="1" t="inlineStr">
        <is>
          <t>REFERENCE VEHICLE QUICK-COMPARE — Key Performance Metrics</t>
        </is>
      </c>
    </row>
    <row r="2" ht="30" customHeight="1">
      <c r="A2" s="38" t="inlineStr">
        <is>
          <t>Vehicle</t>
        </is>
      </c>
      <c r="B2" s="38" t="inlineStr">
        <is>
          <t>Stages</t>
        </is>
      </c>
      <c r="C2" s="38" t="inlineStr">
        <is>
          <t>GLOW (kg)</t>
        </is>
      </c>
      <c r="D2" s="38" t="inlineStr">
        <is>
          <t>Payload LEO (kg)</t>
        </is>
      </c>
      <c r="E2" s="38" t="inlineStr">
        <is>
          <t>Payload Fraction (%)</t>
        </is>
      </c>
      <c r="F2" s="38" t="inlineStr">
        <is>
          <t>Payload GTO (kg)</t>
        </is>
      </c>
      <c r="G2" s="38" t="inlineStr">
        <is>
          <t>Propulsion</t>
        </is>
      </c>
      <c r="H2" s="38" t="inlineStr">
        <is>
          <t>Height (m)</t>
        </is>
      </c>
      <c r="I2" s="38" t="inlineStr">
        <is>
          <t>Status</t>
        </is>
      </c>
    </row>
    <row r="3" ht="15" customHeight="1">
      <c r="A3" s="53" t="inlineStr">
        <is>
          <t>Falcon 9 Block 5</t>
        </is>
      </c>
      <c r="B3" s="54" t="n">
        <v>2</v>
      </c>
      <c r="C3" s="55" t="n">
        <v>549054</v>
      </c>
      <c r="D3" s="55" t="n">
        <v>22800</v>
      </c>
      <c r="E3" s="56" t="n">
        <v>4.15</v>
      </c>
      <c r="F3" s="55" t="n">
        <v>8300</v>
      </c>
      <c r="G3" s="57" t="inlineStr">
        <is>
          <t>—</t>
        </is>
      </c>
      <c r="H3" s="54" t="n">
        <v>70</v>
      </c>
      <c r="I3" s="57" t="inlineStr">
        <is>
          <t>Active</t>
        </is>
      </c>
    </row>
    <row r="4" ht="15" customHeight="1">
      <c r="A4" s="58" t="inlineStr">
        <is>
          <t>Falcon Heavy</t>
        </is>
      </c>
      <c r="B4" s="59" t="n">
        <v>3</v>
      </c>
      <c r="C4" s="60" t="n">
        <v>1420788</v>
      </c>
      <c r="D4" s="60" t="n">
        <v>63800</v>
      </c>
      <c r="E4" s="61" t="n">
        <v>4.49</v>
      </c>
      <c r="F4" s="60" t="n">
        <v>26700</v>
      </c>
      <c r="G4" s="62" t="inlineStr">
        <is>
          <t>—</t>
        </is>
      </c>
      <c r="H4" s="59" t="n">
        <v>70</v>
      </c>
      <c r="I4" s="62" t="inlineStr">
        <is>
          <t>Active</t>
        </is>
      </c>
    </row>
    <row r="5" ht="15" customHeight="1">
      <c r="A5" s="53" t="inlineStr">
        <is>
          <t>Atlas V 401</t>
        </is>
      </c>
      <c r="B5" s="54" t="n">
        <v>2</v>
      </c>
      <c r="C5" s="55" t="n">
        <v>334500</v>
      </c>
      <c r="D5" s="55" t="n">
        <v>9750</v>
      </c>
      <c r="E5" s="56" t="n">
        <v>2.91</v>
      </c>
      <c r="F5" s="55" t="n">
        <v>4750</v>
      </c>
      <c r="G5" s="57" t="inlineStr">
        <is>
          <t>—</t>
        </is>
      </c>
      <c r="H5" s="54" t="n">
        <v>58.3</v>
      </c>
      <c r="I5" s="57" t="inlineStr">
        <is>
          <t>Active (limited)</t>
        </is>
      </c>
    </row>
    <row r="6" ht="15" customHeight="1">
      <c r="A6" s="58" t="inlineStr">
        <is>
          <t>Delta IV Heavy</t>
        </is>
      </c>
      <c r="B6" s="59" t="n">
        <v>3</v>
      </c>
      <c r="C6" s="60" t="n">
        <v>733400</v>
      </c>
      <c r="D6" s="60" t="n">
        <v>28370</v>
      </c>
      <c r="E6" s="61" t="n">
        <v>3.87</v>
      </c>
      <c r="F6" s="60" t="n">
        <v>14220</v>
      </c>
      <c r="G6" s="62" t="inlineStr">
        <is>
          <t>—</t>
        </is>
      </c>
      <c r="H6" s="59" t="n">
        <v>72</v>
      </c>
      <c r="I6" s="62" t="inlineStr">
        <is>
          <t>Retired 2024</t>
        </is>
      </c>
    </row>
    <row r="7" ht="15" customHeight="1">
      <c r="A7" s="53" t="inlineStr">
        <is>
          <t>Ariane 5 ECA</t>
        </is>
      </c>
      <c r="B7" s="54" t="n">
        <v>3</v>
      </c>
      <c r="C7" s="55" t="n">
        <v>777000</v>
      </c>
      <c r="D7" s="55" t="n">
        <v>21000</v>
      </c>
      <c r="E7" s="56" t="n">
        <v>2.7</v>
      </c>
      <c r="F7" s="55" t="n">
        <v>10865</v>
      </c>
      <c r="G7" s="57" t="inlineStr">
        <is>
          <t>—</t>
        </is>
      </c>
      <c r="H7" s="54" t="n">
        <v>59</v>
      </c>
      <c r="I7" s="57" t="inlineStr">
        <is>
          <t>Retired 2023</t>
        </is>
      </c>
    </row>
    <row r="8" ht="15" customHeight="1">
      <c r="A8" s="58" t="inlineStr">
        <is>
          <t>Soyuz-2.1b</t>
        </is>
      </c>
      <c r="B8" s="59" t="n">
        <v>3</v>
      </c>
      <c r="C8" s="60" t="n">
        <v>312000</v>
      </c>
      <c r="D8" s="60" t="n">
        <v>8200</v>
      </c>
      <c r="E8" s="61" t="n">
        <v>2.63</v>
      </c>
      <c r="F8" s="60" t="n">
        <v>2800</v>
      </c>
      <c r="G8" s="62" t="inlineStr">
        <is>
          <t>—</t>
        </is>
      </c>
      <c r="H8" s="59" t="n">
        <v>46.3</v>
      </c>
      <c r="I8" s="62" t="inlineStr">
        <is>
          <t>Active</t>
        </is>
      </c>
    </row>
    <row r="9" ht="15" customHeight="1">
      <c r="A9" s="53" t="inlineStr">
        <is>
          <t>Saturn V</t>
        </is>
      </c>
      <c r="B9" s="54" t="n">
        <v>3</v>
      </c>
      <c r="C9" s="55" t="n">
        <v>2970000</v>
      </c>
      <c r="D9" s="55" t="n">
        <v>130000</v>
      </c>
      <c r="E9" s="56" t="n">
        <v>4.38</v>
      </c>
      <c r="F9" s="55" t="inlineStr">
        <is>
          <t>—</t>
        </is>
      </c>
      <c r="G9" s="57" t="inlineStr">
        <is>
          <t>—</t>
        </is>
      </c>
      <c r="H9" s="54" t="n">
        <v>110.6</v>
      </c>
      <c r="I9" s="57" t="inlineStr">
        <is>
          <t>Retired 1973</t>
        </is>
      </c>
    </row>
    <row r="10" ht="15" customHeight="1">
      <c r="A10" s="58" t="inlineStr">
        <is>
          <t>SLS Block 1</t>
        </is>
      </c>
      <c r="B10" s="59" t="n">
        <v>3</v>
      </c>
      <c r="C10" s="60" t="n">
        <v>2608000</v>
      </c>
      <c r="D10" s="60" t="n">
        <v>95000</v>
      </c>
      <c r="E10" s="61" t="n">
        <v>3.64</v>
      </c>
      <c r="F10" s="60" t="inlineStr">
        <is>
          <t>—</t>
        </is>
      </c>
      <c r="G10" s="62" t="inlineStr">
        <is>
          <t>—</t>
        </is>
      </c>
      <c r="H10" s="59" t="n">
        <v>98</v>
      </c>
      <c r="I10" s="62" t="inlineStr">
        <is>
          <t>Active</t>
        </is>
      </c>
    </row>
    <row r="11" ht="15" customHeight="1">
      <c r="A11" s="53" t="inlineStr">
        <is>
          <t>New Glenn (7x2 Baseline)</t>
        </is>
      </c>
      <c r="B11" s="54" t="n">
        <v>2</v>
      </c>
      <c r="C11" s="55" t="n">
        <v>1000000</v>
      </c>
      <c r="D11" s="55" t="n">
        <v>45000</v>
      </c>
      <c r="E11" s="56" t="n">
        <v>4.5</v>
      </c>
      <c r="F11" s="55" t="n">
        <v>13000</v>
      </c>
      <c r="G11" s="57" t="inlineStr">
        <is>
          <t>—</t>
        </is>
      </c>
      <c r="H11" s="54" t="n">
        <v>98</v>
      </c>
      <c r="I11" s="57" t="inlineStr">
        <is>
          <t>Active</t>
        </is>
      </c>
    </row>
    <row r="12" ht="15" customHeight="1">
      <c r="A12" s="58" t="inlineStr">
        <is>
          <t>New Glenn Block 2 (7x2 Upgraded)</t>
        </is>
      </c>
      <c r="B12" s="59" t="n">
        <v>2</v>
      </c>
      <c r="C12" s="60" t="n">
        <v>1000000</v>
      </c>
      <c r="D12" s="60" t="inlineStr">
        <is>
          <t>—</t>
        </is>
      </c>
      <c r="E12" s="59" t="inlineStr">
        <is>
          <t>—</t>
        </is>
      </c>
      <c r="F12" s="60" t="inlineStr">
        <is>
          <t>—</t>
        </is>
      </c>
      <c r="G12" s="62" t="inlineStr">
        <is>
          <t>—</t>
        </is>
      </c>
      <c r="H12" s="59" t="n">
        <v>98</v>
      </c>
      <c r="I12" s="62" t="inlineStr">
        <is>
          <t>Development</t>
        </is>
      </c>
    </row>
    <row r="13" ht="15" customHeight="1">
      <c r="A13" s="53" t="inlineStr">
        <is>
          <t>New Glenn 9x4</t>
        </is>
      </c>
      <c r="B13" s="54" t="n">
        <v>2</v>
      </c>
      <c r="C13" s="55" t="n">
        <v>1300000</v>
      </c>
      <c r="D13" s="55" t="n">
        <v>70000</v>
      </c>
      <c r="E13" s="56" t="n">
        <v>5.38</v>
      </c>
      <c r="F13" s="55" t="n">
        <v>14000</v>
      </c>
      <c r="G13" s="57" t="inlineStr">
        <is>
          <t>—</t>
        </is>
      </c>
      <c r="H13" s="54" t="n">
        <v>105</v>
      </c>
      <c r="I13" s="57" t="inlineStr">
        <is>
          <t>Development</t>
        </is>
      </c>
    </row>
    <row r="14" ht="15" customHeight="1">
      <c r="A14" s="58" t="inlineStr">
        <is>
          <t>Starship (IFT-6 config)</t>
        </is>
      </c>
      <c r="B14" s="59" t="n">
        <v>2</v>
      </c>
      <c r="C14" s="60" t="n">
        <v>5000000</v>
      </c>
      <c r="D14" s="60" t="n">
        <v>150000</v>
      </c>
      <c r="E14" s="61" t="n">
        <v>3</v>
      </c>
      <c r="F14" s="60" t="inlineStr">
        <is>
          <t>—</t>
        </is>
      </c>
      <c r="G14" s="62" t="inlineStr">
        <is>
          <t>—</t>
        </is>
      </c>
      <c r="H14" s="59" t="n">
        <v>121</v>
      </c>
      <c r="I14" s="62" t="inlineStr">
        <is>
          <t>Development</t>
        </is>
      </c>
    </row>
    <row r="15" ht="15" customHeight="1">
      <c r="A15" s="53" t="inlineStr">
        <is>
          <t>Vulcan Centaur</t>
        </is>
      </c>
      <c r="B15" s="54" t="n">
        <v>2</v>
      </c>
      <c r="C15" s="55" t="n">
        <v>547000</v>
      </c>
      <c r="D15" s="55" t="n">
        <v>27200</v>
      </c>
      <c r="E15" s="56" t="n">
        <v>4.97</v>
      </c>
      <c r="F15" s="55" t="n">
        <v>9250</v>
      </c>
      <c r="G15" s="57" t="inlineStr">
        <is>
          <t>—</t>
        </is>
      </c>
      <c r="H15" s="54" t="n">
        <v>61.6</v>
      </c>
      <c r="I15" s="57" t="inlineStr">
        <is>
          <t>Active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2026-03-28T06:00:48Z</dcterms:created>
  <dcterms:modified xsi:type="dcterms:W3CDTF">2026-03-28T06:00:48Z</dcterms:modified>
</cp:coreProperties>
</file>